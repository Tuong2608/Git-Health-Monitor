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ế hoạch chi tiế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color theme="1"/>
      <sz val="11"/>
    </font>
    <font>
      <name val="Arial"/>
      <sz val="10"/>
    </font>
    <font>
      <name val="Arial"/>
      <b val="1"/>
      <color rgb="FF1F4E78"/>
      <sz val="16"/>
    </font>
    <font>
      <name val="Arial"/>
      <i val="1"/>
      <color rgb="FF595959"/>
      <sz val="10"/>
    </font>
    <font>
      <name val="Arial"/>
      <b val="1"/>
      <sz val="10"/>
    </font>
    <font>
      <name val="Arial"/>
      <sz val="10"/>
    </font>
    <font>
      <name val="Arial"/>
      <b val="1"/>
      <color rgb="FFFFFFFF"/>
      <sz val="11"/>
    </font>
    <font>
      <name val="Arial"/>
      <i val="1"/>
      <color rgb="FF595959"/>
      <sz val="9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2F2F2"/>
      </patternFill>
    </fill>
    <fill>
      <patternFill patternType="solid">
        <fgColor rgb="FFFFE699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6">
    <xf numFmtId="0" fontId="0" fillId="0" borderId="2"/>
    <xf numFmtId="43" fontId="5" fillId="0" borderId="2"/>
    <xf numFmtId="41" fontId="5" fillId="0" borderId="2"/>
    <xf numFmtId="44" fontId="5" fillId="0" borderId="2"/>
    <xf numFmtId="42" fontId="5" fillId="0" borderId="2"/>
    <xf numFmtId="9" fontId="5" fillId="0" borderId="2"/>
  </cellStyleXfs>
  <cellXfs count="28">
    <xf numFmtId="0" fontId="0" fillId="0" borderId="0" pivotButton="0" quotePrefix="0" xfId="0"/>
    <xf numFmtId="0" fontId="4" fillId="2" borderId="1" pivotButton="0" quotePrefix="0" xfId="0"/>
    <xf numFmtId="0" fontId="6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9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9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7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wrapText="1"/>
    </xf>
    <xf numFmtId="164" fontId="1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3" pivotButton="0" quotePrefix="0" xfId="0"/>
    <xf numFmtId="0" fontId="7" fillId="0" borderId="2" applyAlignment="1" pivotButton="0" quotePrefix="0" xfId="0">
      <alignment vertical="top" wrapText="1"/>
    </xf>
    <xf numFmtId="0" fontId="0" fillId="0" borderId="2" pivotButton="0" quotePrefix="0" xfId="0"/>
    <xf numFmtId="0" fontId="0" fillId="0" borderId="0" pivotButton="0" quotePrefix="0" xfId="0"/>
    <xf numFmtId="0" fontId="2" fillId="0" borderId="2" pivotButton="0" quotePrefix="0" xfId="0"/>
    <xf numFmtId="0" fontId="3" fillId="0" borderId="2" applyAlignment="1" pivotButton="0" quotePrefix="0" xfId="0">
      <alignment wrapText="1"/>
    </xf>
    <xf numFmtId="0" fontId="3" fillId="0" borderId="2" pivotButton="0" quotePrefix="0" xfId="0"/>
  </cellXfs>
  <cellStyles count="6">
    <cellStyle name="Normal" xfId="0" builtinId="0"/>
    <cellStyle name="Comma" xfId="1"/>
    <cellStyle name="Comma [0]" xfId="2"/>
    <cellStyle name="Currency" xfId="3"/>
    <cellStyle name="Currency [0]" xfId="4"/>
    <cellStyle name="Percent" xf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workbookViewId="0">
      <selection activeCell="A1" sqref="A1"/>
    </sheetView>
  </sheetViews>
  <sheetFormatPr baseColWidth="8" defaultColWidth="8.7109375" defaultRowHeight="15"/>
  <cols>
    <col width="30" customWidth="1" style="24" min="2" max="2"/>
    <col width="13" customWidth="1" style="24" min="3" max="3"/>
    <col width="14" customWidth="1" style="24" min="4" max="4"/>
    <col width="12" customWidth="1" style="24" min="5" max="5"/>
    <col width="13" customWidth="1" style="24" min="6" max="7"/>
    <col width="14" customWidth="1" style="24" min="8" max="8"/>
  </cols>
  <sheetData>
    <row r="2" ht="19.5" customHeight="1" s="24">
      <c r="B2" s="25" t="inlineStr">
        <is>
          <t>TỔNG QUAN TIẾN ĐỘ ĐỀ TÀI — TUẦN 07</t>
        </is>
      </c>
    </row>
    <row r="3" ht="32.1" customHeight="1" s="24">
      <c r="B3" s="26" t="inlineStr">
        <is>
          <t>Xây dựng hệ thống phân tích và giám sát sức khỏe dự án phần mềm dựa trên lịch sử kho mã nguồn Git (12 tuần / 2 thành viên)</t>
        </is>
      </c>
    </row>
    <row r="5" ht="15" customHeight="1" s="24">
      <c r="B5" s="1" t="inlineStr">
        <is>
          <t>Thành viên 1</t>
        </is>
      </c>
      <c r="C5" s="21" t="inlineStr">
        <is>
          <t>Trần Văn Tưởng — MSSV 23110170</t>
        </is>
      </c>
      <c r="D5" s="19" t="n"/>
      <c r="E5" s="19" t="n"/>
      <c r="F5" s="20" t="n"/>
    </row>
    <row r="6" ht="15" customHeight="1" s="24">
      <c r="B6" s="1" t="inlineStr">
        <is>
          <t>Thành viên 2</t>
        </is>
      </c>
      <c r="C6" s="21" t="inlineStr">
        <is>
          <t>Trần Quang Toản — MSSV 23110158</t>
        </is>
      </c>
      <c r="D6" s="19" t="n"/>
      <c r="E6" s="19" t="n"/>
      <c r="F6" s="20" t="n"/>
    </row>
    <row r="7" ht="15" customHeight="1" s="24">
      <c r="B7" s="1" t="inlineStr">
        <is>
          <t>GVHD</t>
        </is>
      </c>
      <c r="C7" s="21" t="inlineStr">
        <is>
          <t>PGS.TS. Hoàng Văn Dũng</t>
        </is>
      </c>
      <c r="D7" s="19" t="n"/>
      <c r="E7" s="19" t="n"/>
      <c r="F7" s="20" t="n"/>
    </row>
    <row r="8" ht="15" customHeight="1" s="24">
      <c r="B8" s="1" t="inlineStr">
        <is>
          <t>Cập nhật lần cuối</t>
        </is>
      </c>
      <c r="C8" s="18" t="n">
        <v>46325</v>
      </c>
      <c r="D8" s="19" t="n"/>
      <c r="E8" s="19" t="n"/>
      <c r="F8" s="20" t="n"/>
    </row>
    <row r="11" ht="26.25" customHeight="1" s="24">
      <c r="B11" s="2" t="inlineStr">
        <is>
          <t>Giai đoạn</t>
        </is>
      </c>
      <c r="C11" s="2" t="inlineStr">
        <is>
          <t>Tổng số việc</t>
        </is>
      </c>
      <c r="D11" s="2" t="inlineStr">
        <is>
          <t>Chưa bắt đầu</t>
        </is>
      </c>
      <c r="E11" s="2" t="inlineStr">
        <is>
          <t>Đang làm</t>
        </is>
      </c>
      <c r="F11" s="2" t="inlineStr">
        <is>
          <t>Hoàn thành</t>
        </is>
      </c>
      <c r="G11" s="2" t="inlineStr">
        <is>
          <t>Bị trì hoãn</t>
        </is>
      </c>
      <c r="H11" s="2" t="inlineStr">
        <is>
          <t>% Hoàn thành</t>
        </is>
      </c>
    </row>
    <row r="12" ht="30" customHeight="1" s="24">
      <c r="B12" s="17" t="inlineStr">
        <is>
          <t>M0 — Đề cương</t>
        </is>
      </c>
      <c r="C12" s="3">
        <f>COUNTIF('Kế hoạch chi tiết'!$B$5:$B$43,$B12)</f>
        <v/>
      </c>
      <c r="D12" s="3">
        <f>COUNTIFS('Kế hoạch chi tiết'!$B$5:$B$43,$B12,'Kế hoạch chi tiết'!$G$5:$G$43,"Chưa bắt đầu")</f>
        <v/>
      </c>
      <c r="E12" s="3">
        <f>COUNTIFS('Kế hoạch chi tiết'!$B$5:$B$43,$B12,'Kế hoạch chi tiết'!$G$5:$G$43,"Đang làm")</f>
        <v/>
      </c>
      <c r="F12" s="3">
        <f>COUNTIFS('Kế hoạch chi tiết'!$B$5:$B$43,$B12,'Kế hoạch chi tiết'!$G$5:$G$43,"Hoàn thành")</f>
        <v/>
      </c>
      <c r="G12" s="3">
        <f>COUNTIFS('Kế hoạch chi tiết'!$B$5:$B$43,$B12,'Kế hoạch chi tiết'!$G$5:$G$43,"Bị trì hoãn")</f>
        <v/>
      </c>
      <c r="H12" s="4">
        <f>IF(C12=0,0,F12/C12)</f>
        <v/>
      </c>
    </row>
    <row r="13" ht="30" customHeight="1" s="24">
      <c r="B13" s="17" t="inlineStr">
        <is>
          <t>M1 — Nghiên cứu &amp; khảo sát</t>
        </is>
      </c>
      <c r="C13" s="3">
        <f>COUNTIF('Kế hoạch chi tiết'!$B$5:$B$43,$B13)</f>
        <v/>
      </c>
      <c r="D13" s="3">
        <f>COUNTIFS('Kế hoạch chi tiết'!$B$5:$B$43,$B13,'Kế hoạch chi tiết'!$G$5:$G$43,"Chưa bắt đầu")</f>
        <v/>
      </c>
      <c r="E13" s="3">
        <f>COUNTIFS('Kế hoạch chi tiết'!$B$5:$B$43,$B13,'Kế hoạch chi tiết'!$G$5:$G$43,"Đang làm")</f>
        <v/>
      </c>
      <c r="F13" s="3">
        <f>COUNTIFS('Kế hoạch chi tiết'!$B$5:$B$43,$B13,'Kế hoạch chi tiết'!$G$5:$G$43,"Hoàn thành")</f>
        <v/>
      </c>
      <c r="G13" s="3">
        <f>COUNTIFS('Kế hoạch chi tiết'!$B$5:$B$43,$B13,'Kế hoạch chi tiết'!$G$5:$G$43,"Bị trì hoãn")</f>
        <v/>
      </c>
      <c r="H13" s="4">
        <f>IF(C13=0,0,F13/C13)</f>
        <v/>
      </c>
    </row>
    <row r="14" ht="30" customHeight="1" s="24">
      <c r="B14" s="17" t="inlineStr">
        <is>
          <t>M2 — Phân tích &amp; thiết kế kiến trúc</t>
        </is>
      </c>
      <c r="C14" s="3">
        <f>COUNTIF('Kế hoạch chi tiết'!$B$5:$B$43,$B14)</f>
        <v/>
      </c>
      <c r="D14" s="3">
        <f>COUNTIFS('Kế hoạch chi tiết'!$B$5:$B$43,$B14,'Kế hoạch chi tiết'!$G$5:$G$43,"Chưa bắt đầu")</f>
        <v/>
      </c>
      <c r="E14" s="3">
        <f>COUNTIFS('Kế hoạch chi tiết'!$B$5:$B$43,$B14,'Kế hoạch chi tiết'!$G$5:$G$43,"Đang làm")</f>
        <v/>
      </c>
      <c r="F14" s="3">
        <f>COUNTIFS('Kế hoạch chi tiết'!$B$5:$B$43,$B14,'Kế hoạch chi tiết'!$G$5:$G$43,"Hoàn thành")</f>
        <v/>
      </c>
      <c r="G14" s="3">
        <f>COUNTIFS('Kế hoạch chi tiết'!$B$5:$B$43,$B14,'Kế hoạch chi tiết'!$G$5:$G$43,"Bị trì hoãn")</f>
        <v/>
      </c>
      <c r="H14" s="4">
        <f>IF(C14=0,0,F14/C14)</f>
        <v/>
      </c>
    </row>
    <row r="15" ht="30" customHeight="1" s="24">
      <c r="B15" s="17" t="inlineStr">
        <is>
          <t>M3 — Thiết kế chi tiết</t>
        </is>
      </c>
      <c r="C15" s="3">
        <f>COUNTIF('Kế hoạch chi tiết'!$B$5:$B$43,$B15)</f>
        <v/>
      </c>
      <c r="D15" s="3">
        <f>COUNTIFS('Kế hoạch chi tiết'!$B$5:$B$43,$B15,'Kế hoạch chi tiết'!$G$5:$G$43,"Chưa bắt đầu")</f>
        <v/>
      </c>
      <c r="E15" s="3">
        <f>COUNTIFS('Kế hoạch chi tiết'!$B$5:$B$43,$B15,'Kế hoạch chi tiết'!$G$5:$G$43,"Đang làm")</f>
        <v/>
      </c>
      <c r="F15" s="3">
        <f>COUNTIFS('Kế hoạch chi tiết'!$B$5:$B$43,$B15,'Kế hoạch chi tiết'!$G$5:$G$43,"Hoàn thành")</f>
        <v/>
      </c>
      <c r="G15" s="3">
        <f>COUNTIFS('Kế hoạch chi tiết'!$B$5:$B$43,$B15,'Kế hoạch chi tiết'!$G$5:$G$43,"Bị trì hoãn")</f>
        <v/>
      </c>
      <c r="H15" s="4">
        <f>IF(C15=0,0,F15/C15)</f>
        <v/>
      </c>
    </row>
    <row r="16" ht="30" customHeight="1" s="24">
      <c r="B16" s="17" t="inlineStr">
        <is>
          <t>M4 — Cài đặt hệ thống</t>
        </is>
      </c>
      <c r="C16" s="3">
        <f>COUNTIF('Kế hoạch chi tiết'!$B$5:$B$43,$B16)</f>
        <v/>
      </c>
      <c r="D16" s="3">
        <f>COUNTIFS('Kế hoạch chi tiết'!$B$5:$B$43,$B16,'Kế hoạch chi tiết'!$G$5:$G$43,"Chưa bắt đầu")</f>
        <v/>
      </c>
      <c r="E16" s="3">
        <f>COUNTIFS('Kế hoạch chi tiết'!$B$5:$B$43,$B16,'Kế hoạch chi tiết'!$G$5:$G$43,"Đang làm")</f>
        <v/>
      </c>
      <c r="F16" s="3">
        <f>COUNTIFS('Kế hoạch chi tiết'!$B$5:$B$43,$B16,'Kế hoạch chi tiết'!$G$5:$G$43,"Hoàn thành")</f>
        <v/>
      </c>
      <c r="G16" s="3">
        <f>COUNTIFS('Kế hoạch chi tiết'!$B$5:$B$43,$B16,'Kế hoạch chi tiết'!$G$5:$G$43,"Bị trì hoãn")</f>
        <v/>
      </c>
      <c r="H16" s="4">
        <f>IF(C16=0,0,F16/C16)</f>
        <v/>
      </c>
    </row>
    <row r="17" ht="30" customHeight="1" s="24">
      <c r="B17" s="17" t="inlineStr">
        <is>
          <t>M5 — Thực nghiệm &amp; đánh giá</t>
        </is>
      </c>
      <c r="C17" s="3">
        <f>COUNTIF('Kế hoạch chi tiết'!$B$5:$B$43,$B17)</f>
        <v/>
      </c>
      <c r="D17" s="3">
        <f>COUNTIFS('Kế hoạch chi tiết'!$B$5:$B$43,$B17,'Kế hoạch chi tiết'!$G$5:$G$43,"Chưa bắt đầu")</f>
        <v/>
      </c>
      <c r="E17" s="3">
        <f>COUNTIFS('Kế hoạch chi tiết'!$B$5:$B$43,$B17,'Kế hoạch chi tiết'!$G$5:$G$43,"Đang làm")</f>
        <v/>
      </c>
      <c r="F17" s="3">
        <f>COUNTIFS('Kế hoạch chi tiết'!$B$5:$B$43,$B17,'Kế hoạch chi tiết'!$G$5:$G$43,"Hoàn thành")</f>
        <v/>
      </c>
      <c r="G17" s="3">
        <f>COUNTIFS('Kế hoạch chi tiết'!$B$5:$B$43,$B17,'Kế hoạch chi tiết'!$G$5:$G$43,"Bị trì hoãn")</f>
        <v/>
      </c>
      <c r="H17" s="4">
        <f>IF(C17=0,0,F17/C17)</f>
        <v/>
      </c>
    </row>
    <row r="18" ht="30" customHeight="1" s="24">
      <c r="B18" s="17" t="inlineStr">
        <is>
          <t>M6 — Viết &amp; hoàn thiện</t>
        </is>
      </c>
      <c r="C18" s="3">
        <f>COUNTIF('Kế hoạch chi tiết'!$B$5:$B$43,$B18)</f>
        <v/>
      </c>
      <c r="D18" s="3">
        <f>COUNTIFS('Kế hoạch chi tiết'!$B$5:$B$43,$B18,'Kế hoạch chi tiết'!$G$5:$G$43,"Chưa bắt đầu")</f>
        <v/>
      </c>
      <c r="E18" s="3">
        <f>COUNTIFS('Kế hoạch chi tiết'!$B$5:$B$43,$B18,'Kế hoạch chi tiết'!$G$5:$G$43,"Đang làm")</f>
        <v/>
      </c>
      <c r="F18" s="3">
        <f>COUNTIFS('Kế hoạch chi tiết'!$B$5:$B$43,$B18,'Kế hoạch chi tiết'!$G$5:$G$43,"Hoàn thành")</f>
        <v/>
      </c>
      <c r="G18" s="3">
        <f>COUNTIFS('Kế hoạch chi tiết'!$B$5:$B$43,$B18,'Kế hoạch chi tiết'!$G$5:$G$43,"Bị trì hoãn")</f>
        <v/>
      </c>
      <c r="H18" s="4">
        <f>IF(C18=0,0,F18/C18)</f>
        <v/>
      </c>
    </row>
    <row r="19" ht="15" customHeight="1" s="24">
      <c r="B19" s="1" t="inlineStr">
        <is>
          <t>TỔNG CỘNG</t>
        </is>
      </c>
      <c r="C19" s="5">
        <f>SUM(C12:C18)</f>
        <v/>
      </c>
      <c r="D19" s="5">
        <f>SUM(D12:D18)</f>
        <v/>
      </c>
      <c r="E19" s="5">
        <f>SUM(E12:E18)</f>
        <v/>
      </c>
      <c r="F19" s="5">
        <f>SUM(F12:F18)</f>
        <v/>
      </c>
      <c r="G19" s="5">
        <f>SUM(G12:G18)</f>
        <v/>
      </c>
      <c r="H19" s="6">
        <f>IF(C19=0,0,F19/C19)</f>
        <v/>
      </c>
    </row>
    <row r="21" ht="20.1" customHeight="1" s="24">
      <c r="B21" s="22" t="inlineStr">
        <is>
          <t>Tuần 07 (25–31/10/2026), cập nhật 30/10. Nền: main 32eb6a7 + codex/tuong-week7.</t>
        </is>
      </c>
    </row>
    <row r="22" ht="20.1" customHeight="1" s="24"/>
    <row r="23" ht="20.1" customHeight="1" s="24"/>
  </sheetData>
  <mergeCells count="7">
    <mergeCell ref="C8:F8"/>
    <mergeCell ref="C6:F6"/>
    <mergeCell ref="C7:F7"/>
    <mergeCell ref="B21:H23"/>
    <mergeCell ref="B2:H2"/>
    <mergeCell ref="C5:F5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tabSelected="1" workbookViewId="0">
      <selection activeCell="H8" sqref="H8"/>
    </sheetView>
  </sheetViews>
  <sheetFormatPr baseColWidth="8" defaultColWidth="8.7109375" defaultRowHeight="15"/>
  <cols>
    <col width="5" customWidth="1" style="24" min="1" max="1"/>
    <col width="26" customWidth="1" style="24" min="2" max="2"/>
    <col width="30" customWidth="1" style="24" min="3" max="3"/>
    <col width="46" customWidth="1" style="24" min="4" max="4"/>
    <col width="16" customWidth="1" style="24" min="5" max="5"/>
    <col width="12" customWidth="1" style="24" min="6" max="6"/>
    <col width="14" customWidth="1" style="24" min="7" max="7"/>
    <col width="12" customWidth="1" style="24" min="8" max="10"/>
    <col width="64" customWidth="1" style="24" min="11" max="11"/>
  </cols>
  <sheetData>
    <row r="1" ht="27" customHeight="1" s="24">
      <c r="A1" s="25" t="inlineStr">
        <is>
          <t>KẾ HOẠCH CHI TIẾT — BÁO CÁO TUẦN 07 (25–31/10/2026)</t>
        </is>
      </c>
    </row>
    <row r="2" ht="15" customHeight="1" s="24">
      <c r="A2" s="27" t="inlineStr">
        <is>
          <t>Xây dựng hệ thống phân tích và giám sát sức khỏe dự án phần mềm dựa trên lịch sử kho mã nguồn Git — 12 tuần — Tưởng (23110170) &amp; Toản (23110158)</t>
        </is>
      </c>
    </row>
    <row r="4" ht="26.25" customHeight="1" s="24">
      <c r="A4" s="2" t="inlineStr">
        <is>
          <t>STT</t>
        </is>
      </c>
      <c r="B4" s="2" t="inlineStr">
        <is>
          <t>Giai đoạn</t>
        </is>
      </c>
      <c r="C4" s="2" t="inlineStr">
        <is>
          <t>Công việc</t>
        </is>
      </c>
      <c r="D4" s="2" t="inlineStr">
        <is>
          <t>Mô tả / Cách làm</t>
        </is>
      </c>
      <c r="E4" s="2" t="inlineStr">
        <is>
          <t>Người phụ trách</t>
        </is>
      </c>
      <c r="F4" s="2" t="inlineStr">
        <is>
          <t>Độ ưu tiên</t>
        </is>
      </c>
      <c r="G4" s="2" t="inlineStr">
        <is>
          <t>Trạng thái</t>
        </is>
      </c>
      <c r="H4" s="2" t="inlineStr">
        <is>
          <t>Tuần bắt đầu</t>
        </is>
      </c>
      <c r="I4" s="2" t="inlineStr">
        <is>
          <t>Tuần kết thúc</t>
        </is>
      </c>
      <c r="J4" s="2" t="inlineStr">
        <is>
          <t>Phụ thuộc</t>
        </is>
      </c>
      <c r="K4" s="2" t="inlineStr">
        <is>
          <t>Ghi chú</t>
        </is>
      </c>
    </row>
    <row r="5" ht="23.25" customHeight="1" s="24">
      <c r="A5" s="3" t="n">
        <v>1</v>
      </c>
      <c r="B5" s="7" t="inlineStr">
        <is>
          <t>M0 — Đề cương</t>
        </is>
      </c>
      <c r="C5" s="7" t="inlineStr">
        <is>
          <t>Hoàn thành đề cương tiểu luận</t>
        </is>
      </c>
      <c r="D5" s="7" t="inlineStr">
        <is>
          <t>Xác định lý do chọn đề tài, mục tiêu, phạm vi, phương pháp thực hiện và đề cương chi tiết các chương.</t>
        </is>
      </c>
      <c r="E5" s="7" t="inlineStr">
        <is>
          <t>Cả 2 (Tưởng + Toản)</t>
        </is>
      </c>
      <c r="F5" s="8" t="inlineStr">
        <is>
          <t>Cao</t>
        </is>
      </c>
      <c r="G5" s="10" t="inlineStr">
        <is>
          <t>Hoàn thành</t>
        </is>
      </c>
      <c r="H5" s="3" t="inlineStr">
        <is>
          <t>1</t>
        </is>
      </c>
      <c r="I5" s="3" t="inlineStr">
        <is>
          <t>1</t>
        </is>
      </c>
      <c r="J5" s="7" t="inlineStr">
        <is>
          <t>—</t>
        </is>
      </c>
      <c r="K5" s="7" t="inlineStr">
        <is>
          <t>Đã nộp GVHD duyệt — bản design-first</t>
        </is>
      </c>
    </row>
    <row r="6" ht="90" customHeight="1" s="24">
      <c r="A6" s="16" t="n">
        <v>2</v>
      </c>
      <c r="B6" s="13" t="inlineStr">
        <is>
          <t>M1 — Nghiên cứu &amp; khảo sát</t>
        </is>
      </c>
      <c r="C6" s="13" t="inlineStr">
        <is>
          <t>Duy trì AI Usage Log</t>
        </is>
      </c>
      <c r="D6" s="13" t="inlineStr">
        <is>
          <t>Ghi công cụ AI đã dùng, phạm vi, prompt chính, phần AI hỗ trợ/đã chỉnh sửa, lỗi/ảo giác phát hiện được; đối chiếu với lịch sử commit và báo cáo tuần trên web khoa.</t>
        </is>
      </c>
      <c r="E6" s="13" t="inlineStr">
        <is>
          <t>Cả 2 (Tưởng + Toản)</t>
        </is>
      </c>
      <c r="F6" s="14" t="inlineStr">
        <is>
          <t>Cao</t>
        </is>
      </c>
      <c r="G6" s="15" t="inlineStr">
        <is>
          <t>Đang làm</t>
        </is>
      </c>
      <c r="H6" s="16" t="inlineStr">
        <is>
          <t>1</t>
        </is>
      </c>
      <c r="I6" s="16" t="inlineStr">
        <is>
          <t>12</t>
        </is>
      </c>
      <c r="J6" s="13" t="inlineStr">
        <is>
          <t>—</t>
        </is>
      </c>
      <c r="K6" s="13" t="inlineStr">
        <is>
          <t>Đã ghi đầy đủ AI Usage Log tới tuần 7 cho cả hai thành viên (docs/ai-usage/tuong-week07.md, docs/week-07/ai-usage-toan-week07.md); đối chiếu rõ số liệu tự chạy (41/41 test không cần DB) và số liệu bàn giao cần PostgreSQL (58/88 test).</t>
        </is>
      </c>
    </row>
    <row r="7" ht="23.25" customHeight="1" s="24">
      <c r="A7" s="3" t="n">
        <v>3</v>
      </c>
      <c r="B7" s="7" t="inlineStr">
        <is>
          <t>M1 — Nghiên cứu &amp; khảo sát</t>
        </is>
      </c>
      <c r="C7" s="7" t="inlineStr">
        <is>
          <t>Nghiên cứu nợ kỹ thuật và hướng MSR</t>
        </is>
      </c>
      <c r="D7" s="7" t="inlineStr">
        <is>
          <t>Đọc tài liệu về technical debt, Mining Software Repositories; tổng hợp khái niệm dùng cho Chương 1.</t>
        </is>
      </c>
      <c r="E7" s="7" t="inlineStr">
        <is>
          <t>Cả 2 (Tưởng + Toản)</t>
        </is>
      </c>
      <c r="F7" s="8" t="inlineStr">
        <is>
          <t>Cao</t>
        </is>
      </c>
      <c r="G7" s="10" t="inlineStr">
        <is>
          <t>Hoàn thành</t>
        </is>
      </c>
      <c r="H7" s="3" t="inlineStr">
        <is>
          <t>2</t>
        </is>
      </c>
      <c r="I7" s="3" t="inlineStr">
        <is>
          <t>2</t>
        </is>
      </c>
      <c r="J7" s="7" t="inlineStr">
        <is>
          <t>M0</t>
        </is>
      </c>
      <c r="K7" s="7" t="n"/>
    </row>
    <row r="8" ht="23.25" customHeight="1" s="24">
      <c r="A8" s="3" t="n">
        <v>4</v>
      </c>
      <c r="B8" s="7" t="inlineStr">
        <is>
          <t>M1 — Nghiên cứu &amp; khảo sát</t>
        </is>
      </c>
      <c r="C8" s="7" t="inlineStr">
        <is>
          <t>Nghiên cứu bộ chỉ số sức khỏe mã nguồn</t>
        </is>
      </c>
      <c r="D8" s="13" t="inlineStr">
        <is>
          <t>Tìm hiểu change frequency, code churn, cyclomatic complexity, hotspot score, temporal coupling và contribution concentration (HHI); chốt baseline công thức, ý nghĩa và giới hạn diễn giải trước khi bước sang thiết kế/cài đặt.</t>
        </is>
      </c>
      <c r="E8" s="13" t="inlineStr">
        <is>
          <t>Cả 2 (Tưởng + Toản)</t>
        </is>
      </c>
      <c r="F8" s="14" t="inlineStr">
        <is>
          <t>Cao</t>
        </is>
      </c>
      <c r="G8" s="15" t="inlineStr">
        <is>
          <t>Hoàn thành</t>
        </is>
      </c>
      <c r="H8" s="16" t="inlineStr">
        <is>
          <t>2</t>
        </is>
      </c>
      <c r="I8" s="16" t="inlineStr">
        <is>
          <t>3</t>
        </is>
      </c>
      <c r="J8" s="13" t="inlineStr">
        <is>
          <t>M0</t>
        </is>
      </c>
      <c r="K8" s="13" t="inlineStr">
        <is>
          <t>Đã thống nhất baseline Metric Spec v1: temporal coupling = shared_commits / min(|C_A|,|C_B|), lọc shared≥5 và coupling≥50%; HHI đo mức tập trung đóng góp lịch sử dựa trên churn, không suy ra trực tiếp mức hiểu mã; hotspot giữ sqrt(P_change×P_complexity). Đã PoC JGit + Lizard trên repo mẫu; PoC chưa tích hợp vào backend production. Xem docs/metric-spec-v1.md và docs/research-notes.md.</t>
        </is>
      </c>
    </row>
    <row r="9" ht="23.25" customHeight="1" s="24">
      <c r="A9" s="3" t="n">
        <v>5</v>
      </c>
      <c r="B9" s="7" t="inlineStr">
        <is>
          <t>M1 — Nghiên cứu &amp; khảo sát</t>
        </is>
      </c>
      <c r="C9" s="7" t="inlineStr">
        <is>
          <t>Khảo sát công cụ hiện có (competitor matrix)</t>
        </is>
      </c>
      <c r="D9" s="13" t="inlineStr">
        <is>
          <t>So sánh SonarQube, CodeScene, Code Maat, CodeCharta (Git-of-Theseus bổ sung nếu cần); lập competitor matrix xác định khoảng trống đề tài hướng tới.</t>
        </is>
      </c>
      <c r="E9" s="13" t="inlineStr">
        <is>
          <t>Cả 2 (Tưởng + Toản)</t>
        </is>
      </c>
      <c r="F9" s="14" t="inlineStr">
        <is>
          <t>Trung bình</t>
        </is>
      </c>
      <c r="G9" s="15" t="inlineStr">
        <is>
          <t>Hoàn thành</t>
        </is>
      </c>
      <c r="H9" s="16" t="inlineStr">
        <is>
          <t>2</t>
        </is>
      </c>
      <c r="I9" s="16" t="inlineStr">
        <is>
          <t>2</t>
        </is>
      </c>
      <c r="J9" s="13" t="inlineStr">
        <is>
          <t>—</t>
        </is>
      </c>
      <c r="K9" s="13" t="inlineStr">
        <is>
          <t>Đẩy sớm 1 tuần theo phản hồi GVHD tuần 1 (cần khảo sát trước khi thiết kế); đã rút kết luận chức năng nên/không nên làm</t>
        </is>
      </c>
    </row>
    <row r="10" ht="72" customHeight="1" s="24">
      <c r="A10" s="16" t="n">
        <v>6</v>
      </c>
      <c r="B10" s="13" t="inlineStr">
        <is>
          <t>M1 — Nghiên cứu &amp; khảo sát</t>
        </is>
      </c>
      <c r="C10" s="13" t="inlineStr">
        <is>
          <t>Tìm hiểu công nghệ sử dụng</t>
        </is>
      </c>
      <c r="D10" s="13" t="inlineStr">
        <is>
          <t>Đọc tài liệu Spring Boot, JGit, PostgreSQL, Lizard, React, Recharts/D3.js, Docker, GitHub Actions để chuẩn bị cài đặt.</t>
        </is>
      </c>
      <c r="E10" s="13" t="inlineStr">
        <is>
          <t>Cả 2 (Tưởng + Toản)</t>
        </is>
      </c>
      <c r="F10" s="14" t="inlineStr">
        <is>
          <t>Trung bình</t>
        </is>
      </c>
      <c r="G10" s="15" t="inlineStr">
        <is>
          <t>Đang làm</t>
        </is>
      </c>
      <c r="H10" s="16" t="inlineStr">
        <is>
          <t>3</t>
        </is>
      </c>
      <c r="I10" s="16" t="inlineStr">
        <is>
          <t>3</t>
        </is>
      </c>
      <c r="J10" s="13" t="inlineStr">
        <is>
          <t>—</t>
        </is>
      </c>
      <c r="K10" s="13" t="inlineStr">
        <is>
          <t>Đã nghiên cứu và soạn thiết kế JGit full clone, Lizard, TaskExecutor và PostgreSQL. Mã hiện có: repository API, lưu PostgreSQL, React gọi API. Tiếp tục kiểm chứng công nghệ khi cài pipeline.</t>
        </is>
      </c>
    </row>
    <row r="11" ht="72" customHeight="1" s="24">
      <c r="A11" s="16" t="n">
        <v>7</v>
      </c>
      <c r="B11" s="13" t="inlineStr">
        <is>
          <t>M1 — Nghiên cứu &amp; khảo sát</t>
        </is>
      </c>
      <c r="C11" s="13" t="inlineStr">
        <is>
          <t>Phỏng vấn stakeholder</t>
        </is>
      </c>
      <c r="D11" s="13" t="inlineStr">
        <is>
          <t>Phỏng vấn ít nhất 3 người có kinh nghiệm phát triển dự án dùng Git để kiểm chứng nhu cầu người dùng và điều chỉnh workflow trước khi chốt SRS.</t>
        </is>
      </c>
      <c r="E11" s="13" t="inlineStr">
        <is>
          <t>Cả 2 (Tưởng + Toản)</t>
        </is>
      </c>
      <c r="F11" s="14" t="inlineStr">
        <is>
          <t>Cao</t>
        </is>
      </c>
      <c r="G11" s="15" t="inlineStr">
        <is>
          <t>Hoàn thành</t>
        </is>
      </c>
      <c r="H11" s="16" t="inlineStr">
        <is>
          <t>2</t>
        </is>
      </c>
      <c r="I11" s="16" t="inlineStr">
        <is>
          <t>3</t>
        </is>
      </c>
      <c r="J11" s="13" t="inlineStr">
        <is>
          <t>—</t>
        </is>
      </c>
      <c r="K11" s="13" t="inlineStr">
        <is>
          <t>Đã tổng hợp 5 bộ trả lời S01–S05 trong docs/interview-notes.md: Toản cung cấp 3, Tưởng bổ sung 2. Đây là khảo sát nhu cầu, chưa phải thực nghiệm sử dụng sản phẩm.</t>
        </is>
      </c>
    </row>
    <row r="12" ht="72" customHeight="1" s="24">
      <c r="A12" s="16" t="n">
        <v>8</v>
      </c>
      <c r="B12" s="13" t="inlineStr">
        <is>
          <t>M2 — Phân tích &amp; thiết kế kiến trúc</t>
        </is>
      </c>
      <c r="C12" s="13" t="inlineStr">
        <is>
          <t>Phân tích yêu cầu hệ thống</t>
        </is>
      </c>
      <c r="D12" s="13" t="inlineStr">
        <is>
          <t>Xác định nhóm người dùng, yêu cầu chức năng và phi chức năng (hiệu năng, mở rộng, bảo mật).</t>
        </is>
      </c>
      <c r="E12" s="13" t="inlineStr">
        <is>
          <t>Cả 2 (Tưởng + Toản)</t>
        </is>
      </c>
      <c r="F12" s="14" t="inlineStr">
        <is>
          <t>Cao</t>
        </is>
      </c>
      <c r="G12" s="15" t="inlineStr">
        <is>
          <t>Hoàn thành</t>
        </is>
      </c>
      <c r="H12" s="16" t="inlineStr">
        <is>
          <t>4</t>
        </is>
      </c>
      <c r="I12" s="16" t="inlineStr">
        <is>
          <t>4</t>
        </is>
      </c>
      <c r="J12" s="13" t="inlineStr">
        <is>
          <t>M1</t>
        </is>
      </c>
      <c r="K12" s="13" t="inlineStr">
        <is>
          <t>Đã soạn bản yêu cầu tuần 4 với 11 use case, 25 tiêu chí chấp nhận và truy vết khảo sát. Hoàn thành bản tài liệu để review, chưa xác nhận GVHD phê duyệt. Minh chứng: docs/requirements-week4.md.</t>
        </is>
      </c>
    </row>
    <row r="13" ht="72" customHeight="1" s="24">
      <c r="A13" s="16" t="n">
        <v>9</v>
      </c>
      <c r="B13" s="13" t="inlineStr">
        <is>
          <t>M2 — Phân tích &amp; thiết kế kiến trúc</t>
        </is>
      </c>
      <c r="C13" s="13" t="inlineStr">
        <is>
          <t>Vẽ use case và đặc tả use case chính</t>
        </is>
      </c>
      <c r="D13" s="13" t="inlineStr">
        <is>
          <t>Lập biểu đồ use case tổng quát; đặc tả 100% use case cốt lõi (phân tích repo, xem báo cáo, cảnh báo, AI review) có precondition/main flow/alternate/exception/acceptance criteria.</t>
        </is>
      </c>
      <c r="E13" s="13" t="inlineStr">
        <is>
          <t>Cả 2 (Tưởng + Toản)</t>
        </is>
      </c>
      <c r="F13" s="14" t="inlineStr">
        <is>
          <t>Trung bình</t>
        </is>
      </c>
      <c r="G13" s="15" t="inlineStr">
        <is>
          <t>Đang làm</t>
        </is>
      </c>
      <c r="H13" s="16" t="inlineStr">
        <is>
          <t>2</t>
        </is>
      </c>
      <c r="I13" s="16" t="inlineStr">
        <is>
          <t>4</t>
        </is>
      </c>
      <c r="J13" s="13" t="inlineStr">
        <is>
          <t>Phân tích yêu cầu</t>
        </is>
      </c>
      <c r="K13" s="13" t="inlineStr">
        <is>
          <t>Đã đặc tả 11 use case: actor, điều kiện, luồng chính, ngoại lệ và 25 tiêu chí chấp nhận. Còn hoàn thiện biểu đồ use case tổng quát và review. Minh chứng: docs/requirements-week4.md.</t>
        </is>
      </c>
    </row>
    <row r="14" ht="72" customHeight="1" s="24">
      <c r="A14" s="16" t="n">
        <v>10</v>
      </c>
      <c r="B14" s="13" t="inlineStr">
        <is>
          <t>M2 — Phân tích &amp; thiết kế kiến trúc</t>
        </is>
      </c>
      <c r="C14" s="13" t="inlineStr">
        <is>
          <t>Xác định business rules và NFR</t>
        </is>
      </c>
      <c r="D14" s="13" t="inlineStr">
        <is>
          <t>Chốt business rules cốt lõi và yêu cầu phi chức năng. NFR03 đặt mục tiêu phân tích repository tối đa 10.000 commit trong ≤10 phút; chỉ kết luận đạt sau khi benchmark pipeline hoàn chỉnh, có log môi trường và thời gian từng bước.</t>
        </is>
      </c>
      <c r="E14" s="13" t="inlineStr">
        <is>
          <t>Cả 2 (Tưởng + Toản)</t>
        </is>
      </c>
      <c r="F14" s="14" t="inlineStr">
        <is>
          <t>Cao</t>
        </is>
      </c>
      <c r="G14" s="15" t="inlineStr">
        <is>
          <t>Đang làm</t>
        </is>
      </c>
      <c r="H14" s="16" t="inlineStr">
        <is>
          <t>4</t>
        </is>
      </c>
      <c r="I14" s="16" t="inlineStr">
        <is>
          <t>4</t>
        </is>
      </c>
      <c r="J14" s="13" t="inlineStr">
        <is>
          <t>Phân tích yêu cầu</t>
        </is>
      </c>
      <c r="K14" s="13" t="inlineStr">
        <is>
          <t>Đã soạn 18 business rules (13 kế thừa, 5 bổ sung), 10 NFR và cách đo. BR14/BR16, quota và KPI nâng cao còn chờ chốt. NFR 10.000 commit/10 phút chưa benchmark. Xem docs/business-rules-nfr.md.</t>
        </is>
      </c>
    </row>
    <row r="15" ht="80.09999999999999" customHeight="1" s="24">
      <c r="A15" s="16" t="n">
        <v>11</v>
      </c>
      <c r="B15" s="13" t="inlineStr">
        <is>
          <t>M2 — Phân tích &amp; thiết kế kiến trúc</t>
        </is>
      </c>
      <c r="C15" s="13" t="inlineStr">
        <is>
          <t>Thiết kế kiến trúc tổng thể</t>
        </is>
      </c>
      <c r="D15" s="13" t="inlineStr">
        <is>
          <t>Thiết kế luồng xử lý bất đồng bộ (job worker qua PostgreSQL + TaskExecutor, không dùng Redis) và tổ chức modular monolith.</t>
        </is>
      </c>
      <c r="E15" s="13" t="inlineStr">
        <is>
          <t>Tưởng</t>
        </is>
      </c>
      <c r="F15" s="14" t="inlineStr">
        <is>
          <t>Cao</t>
        </is>
      </c>
      <c r="G15" s="15" t="inlineStr">
        <is>
          <t>Hoàn thành</t>
        </is>
      </c>
      <c r="H15" s="16" t="inlineStr">
        <is>
          <t>4</t>
        </is>
      </c>
      <c r="I15" s="16" t="inlineStr">
        <is>
          <t>5</t>
        </is>
      </c>
      <c r="J15" s="13" t="inlineStr">
        <is>
          <t>Phân tích yêu cầu</t>
        </is>
      </c>
      <c r="K15" s="13" t="inlineStr">
        <is>
          <t>Đã có thiết kế modular monolith, PostgreSQL + TaskExecutor. Tuần 5 cụ thể hóa thành thuật toán, snapshot và cơ chế cảnh báo; đối chiếu với mô hình dữ liệu Toản. Hoàn thành bản thiết kế để review, chưa triển khai pipeline.</t>
        </is>
      </c>
    </row>
    <row r="16" ht="90" customHeight="1" s="24">
      <c r="A16" s="16" t="n">
        <v>12</v>
      </c>
      <c r="B16" s="13" t="inlineStr">
        <is>
          <t>M2 — Phân tích &amp; thiết kế kiến trúc</t>
        </is>
      </c>
      <c r="C16" s="13" t="inlineStr">
        <is>
          <t>Thiết kế API contract &amp; ADR</t>
        </is>
      </c>
      <c r="D16" s="13" t="inlineStr">
        <is>
          <t>Đặc tả API chính (POST repository, POST analysis, GET job/snapshot/hotspot/alert) và lập ADR đầu tiên (Context/Decision/Alternatives/Why selected/Consequences).</t>
        </is>
      </c>
      <c r="E16" s="13" t="inlineStr">
        <is>
          <t>Toản</t>
        </is>
      </c>
      <c r="F16" s="14" t="inlineStr">
        <is>
          <t>Trung bình</t>
        </is>
      </c>
      <c r="G16" s="15" t="inlineStr">
        <is>
          <t>Đang làm</t>
        </is>
      </c>
      <c r="H16" s="16" t="inlineStr">
        <is>
          <t>4</t>
        </is>
      </c>
      <c r="I16" s="16" t="inlineStr">
        <is>
          <t>5</t>
        </is>
      </c>
      <c r="J16" s="13" t="inlineStr">
        <is>
          <t>Thiết kế kiến trúc</t>
        </is>
      </c>
      <c r="K16" s="13" t="inlineStr">
        <is>
          <t>Tiếp thu GVHD: 40/40 test đạt, gồm 16 URL, 23 HTTP và 1 context trên PostgreSQL 18.6 riêng. Đã kiểm tra DTO, mã lỗi, phân trang, CORS, cờ đăng ký và trùng đồng thời. API pipeline/AI còn ở thiết kế.</t>
        </is>
      </c>
    </row>
    <row r="17" ht="90" customHeight="1" s="24">
      <c r="A17" s="16" t="n">
        <v>13</v>
      </c>
      <c r="B17" s="13" t="inlineStr">
        <is>
          <t>M2 — Phân tích &amp; thiết kế kiến trúc</t>
        </is>
      </c>
      <c r="C17" s="13" t="inlineStr">
        <is>
          <t>Dựng skeleton + CI cơ bản &amp; staging</t>
        </is>
      </c>
      <c r="D17" s="13" t="inlineStr">
        <is>
          <t>Dựng khung backend/frontend, pipeline CI (build, lint, test) từ tuần 2; môi trường staging phải truy cập được chậm nhất cuối tuần 3.</t>
        </is>
      </c>
      <c r="E17" s="13" t="inlineStr">
        <is>
          <t>Cả 2 (Tưởng + Toản)</t>
        </is>
      </c>
      <c r="F17" s="14" t="inlineStr">
        <is>
          <t>Cao</t>
        </is>
      </c>
      <c r="G17" s="15" t="inlineStr">
        <is>
          <t>Hoàn thành</t>
        </is>
      </c>
      <c r="H17" s="16" t="inlineStr">
        <is>
          <t>2</t>
        </is>
      </c>
      <c r="I17" s="16" t="inlineStr">
        <is>
          <t>3</t>
        </is>
      </c>
      <c r="J17" s="13" t="inlineStr">
        <is>
          <t>—</t>
        </is>
      </c>
      <c r="K17" s="13" t="inlineStr">
        <is>
          <t>Đã có skeleton, CI và staging từ tuần 4. Ngày 16/10 chạy Maven verify với Java 21/PostgreSQL 18.6: 40 test đạt. Kết quả local, chưa xác minh lại CI hoặc triển khai bản sửa lên staging.</t>
        </is>
      </c>
    </row>
    <row r="18" ht="80.09999999999999" customHeight="1" s="24">
      <c r="A18" s="16" t="n">
        <v>14</v>
      </c>
      <c r="B18" s="13" t="inlineStr">
        <is>
          <t>M2 — Phân tích &amp; thiết kế kiến trúc</t>
        </is>
      </c>
      <c r="C18" s="13" t="inlineStr">
        <is>
          <t>Chốt phạm vi trợ lý rà soát bằng LLM</t>
        </is>
      </c>
      <c r="D18" s="13" t="inlineStr">
        <is>
          <t>Xác định context gửi model (metric, thay đổi gần đây, đoạn mã chọn), output schema, provider abstraction, timeout/fallback và chính sách không tự động sửa mã; cô lập khỏi metric engine.</t>
        </is>
      </c>
      <c r="E18" s="13" t="inlineStr">
        <is>
          <t>Cả 2 (Tưởng + Toản)</t>
        </is>
      </c>
      <c r="F18" s="14" t="inlineStr">
        <is>
          <t>Cao</t>
        </is>
      </c>
      <c r="G18" s="15" t="inlineStr">
        <is>
          <t>Đang làm</t>
        </is>
      </c>
      <c r="H18" s="16" t="inlineStr">
        <is>
          <t>3</t>
        </is>
      </c>
      <c r="I18" s="16" t="inlineStr">
        <is>
          <t>4</t>
        </is>
      </c>
      <c r="J18" s="13" t="inlineStr">
        <is>
          <t>Phân tích yêu cầu</t>
        </is>
      </c>
      <c r="K18" s="13" t="inlineStr">
        <is>
          <t>Đã có scope, schema 5 trường, interface LLMReviewService và prompt ai-review/v1. Chưa chọn provider, chốt token budget và chính sách lưu dữ liệu; hoàn thiện tuần 6.</t>
        </is>
      </c>
    </row>
    <row r="19" ht="155.1" customHeight="1" s="24">
      <c r="A19" s="16" t="n">
        <v>15</v>
      </c>
      <c r="B19" s="13" t="inlineStr">
        <is>
          <t>M3 — Thiết kế chi tiết</t>
        </is>
      </c>
      <c r="C19" s="13" t="inlineStr">
        <is>
          <t>Thiết kế thuật toán tính chỉ số</t>
        </is>
      </c>
      <c r="D19" s="13" t="inlineStr">
        <is>
          <t>Thiết kế thuật toán trích xuất commit, change frequency, code churn, cyclomatic complexity (Lizard), chuẩn hóa percentile và hotspot score = sqrt(P_change×P_complexity). Temporal coupling v1 = shared_commits/min(|C_A|,|C_B|), chỉ báo cáo khi shared≥5 và coupling≥50%. Contribution concentration dùng HHI trên churn (additions+deletions); file complexity cho hotspot dùng max function CCN. JGit bật rename detection và loại merge commit khỏi metric lịch sử.</t>
        </is>
      </c>
      <c r="E19" s="13" t="inlineStr">
        <is>
          <t>Tưởng</t>
        </is>
      </c>
      <c r="F19" s="14" t="inlineStr">
        <is>
          <t>Cao</t>
        </is>
      </c>
      <c r="G19" s="15" t="inlineStr">
        <is>
          <t>Hoàn thành</t>
        </is>
      </c>
      <c r="H19" s="16" t="inlineStr">
        <is>
          <t>5</t>
        </is>
      </c>
      <c r="I19" s="16" t="inlineStr">
        <is>
          <t>5</t>
        </is>
      </c>
      <c r="J19" s="13" t="inlineStr">
        <is>
          <t>Thiết kế kiến trúc</t>
        </is>
      </c>
      <c r="K19" s="13" t="inlineStr">
        <is>
          <t>Đã soạn docs/algorithm-design.md: giả mã frequency/churn, HHI, coupling, CCN và hotspot; xử lý rename, zero/null, ties và phạm vi cửa sổ. Ví dụ số đã kiểm tra tĩnh. Hoàn thành bản thiết kế; lựa chọn chi tiết còn review trước code.</t>
        </is>
      </c>
    </row>
    <row r="20" ht="80.09999999999999" customHeight="1" s="24">
      <c r="A20" s="16" t="n">
        <v>16</v>
      </c>
      <c r="B20" s="13" t="inlineStr">
        <is>
          <t>M3 — Thiết kế chi tiết</t>
        </is>
      </c>
      <c r="C20" s="13" t="inlineStr">
        <is>
          <t>Thiết kế cơ chế giám sát định kỳ</t>
        </is>
      </c>
      <c r="D20" s="13" t="inlineStr">
        <is>
          <t>Thiết kế mô hình snapshot, quy trình quét định kỳ, so sánh hai lần quét và quy tắc ngưỡng cảnh báo.</t>
        </is>
      </c>
      <c r="E20" s="13" t="inlineStr">
        <is>
          <t>Tưởng</t>
        </is>
      </c>
      <c r="F20" s="14" t="inlineStr">
        <is>
          <t>Cao</t>
        </is>
      </c>
      <c r="G20" s="15" t="inlineStr">
        <is>
          <t>Hoàn thành</t>
        </is>
      </c>
      <c r="H20" s="16" t="inlineStr">
        <is>
          <t>5</t>
        </is>
      </c>
      <c r="I20" s="16" t="inlineStr">
        <is>
          <t>5</t>
        </is>
      </c>
      <c r="J20" s="13" t="inlineStr">
        <is>
          <t>Thiết kế kiến trúc</t>
        </is>
      </c>
      <c r="K20" s="13" t="inlineStr">
        <is>
          <t>Theo phân công tuần 5 mới: Tưởng thiết kế giám sát. Đã soạn docs/monitoring-design.md: lịch/job, snapshot bất biến, NO_CHANGE, delta, rule/version và chống alert trùng. Cần phối hợp metadata với ERD; chưa cài scheduler.</t>
        </is>
      </c>
    </row>
    <row r="21" ht="80.09999999999999" customHeight="1" s="24">
      <c r="A21" s="16" t="n">
        <v>17</v>
      </c>
      <c r="B21" s="13" t="inlineStr">
        <is>
          <t>M3 — Thiết kế chi tiết</t>
        </is>
      </c>
      <c r="C21" s="13" t="inlineStr">
        <is>
          <t>Thiết kế cơ sở dữ liệu</t>
        </is>
      </c>
      <c r="D21" s="13" t="inlineStr">
        <is>
          <t>Lập ERD và đặc tả 10 bảng (tracked_repository, analysis_job, analysis_snapshot, logical_file, file_metric, contributor, file_contribution, temporal_coupling, alert_rule, alert) cùng chỉ mục phục vụ truy vấn.</t>
        </is>
      </c>
      <c r="E21" s="13" t="inlineStr">
        <is>
          <t>Toản</t>
        </is>
      </c>
      <c r="F21" s="14" t="inlineStr">
        <is>
          <t>Trung bình</t>
        </is>
      </c>
      <c r="G21" s="15" t="inlineStr">
        <is>
          <t>Hoàn thành</t>
        </is>
      </c>
      <c r="H21" s="16" t="inlineStr">
        <is>
          <t>5</t>
        </is>
      </c>
      <c r="I21" s="16" t="inlineStr">
        <is>
          <t>5</t>
        </is>
      </c>
      <c r="J21" s="13" t="inlineStr">
        <is>
          <t>Thiết kế kiến trúc</t>
        </is>
      </c>
      <c r="K21" s="13" t="inlineStr">
        <is>
          <t>Toản đã bàn giao ERD, từ điển đủ 10 bảng, khóa/index và SQL tham chiếu trong docs/week-05/. Log ghi 12 nhóm kiểm tra PostgreSQL 18.3 đạt và rollback schema thử. Hoàn thành bản thiết kế, chưa là migration triển khai.</t>
        </is>
      </c>
    </row>
    <row r="22" ht="80.09999999999999" customHeight="1" s="24">
      <c r="A22" s="16" t="n">
        <v>18</v>
      </c>
      <c r="B22" s="13" t="inlineStr">
        <is>
          <t>M3 — Thiết kế chi tiết</t>
        </is>
      </c>
      <c r="C22" s="13" t="inlineStr">
        <is>
          <t>Thiết kế giao diện người dùng</t>
        </is>
      </c>
      <c r="D22" s="13" t="inlineStr">
        <is>
          <t>Vẽ sơ đồ điều hướng, thiết kế màn hình chính, màn hình AI review và chọn hình thức trực quan hóa cho từng chỉ số.</t>
        </is>
      </c>
      <c r="E22" s="13" t="inlineStr">
        <is>
          <t>Toản</t>
        </is>
      </c>
      <c r="F22" s="14" t="inlineStr">
        <is>
          <t>Trung bình</t>
        </is>
      </c>
      <c r="G22" s="15" t="inlineStr">
        <is>
          <t>Hoàn thành</t>
        </is>
      </c>
      <c r="H22" s="16" t="inlineStr">
        <is>
          <t>5</t>
        </is>
      </c>
      <c r="I22" s="16" t="inlineStr">
        <is>
          <t>5</t>
        </is>
      </c>
      <c r="J22" s="13" t="inlineStr">
        <is>
          <t>Thiết kế kiến trúc</t>
        </is>
      </c>
      <c r="K22" s="13" t="inlineStr">
        <is>
          <t>Đã có 4 wireframe offline: tổng quan, hotspot, chi tiết file/AI và cấu hình cảnh báo. Minh chứng 18 kiểm tra, desktop 1440/mobile 375, trạng thái tải/rỗng/lỗi. Dữ liệu minh họa, chưa là UI sản phẩm kết nối pipeline.</t>
        </is>
      </c>
    </row>
    <row r="23" ht="80.09999999999999" customHeight="1" s="24">
      <c r="A23" s="16" t="n">
        <v>19</v>
      </c>
      <c r="B23" s="13" t="inlineStr">
        <is>
          <t>M3 — Thiết kế chi tiết</t>
        </is>
      </c>
      <c r="C23" s="13" t="inlineStr">
        <is>
          <t>Thiết kế module trợ lý rà soát bằng LLM</t>
        </is>
      </c>
      <c r="D23" s="13" t="inlineStr">
        <is>
          <t>Thiết kế interface LLMReviewService, prompt template có version, response gồm riskSummary, evidence, reviewChecklist, refactorSuggestions, limitations; timeout/fallback độc lập với pipeline phân tích.</t>
        </is>
      </c>
      <c r="E23" s="13" t="inlineStr">
        <is>
          <t>Tưởng</t>
        </is>
      </c>
      <c r="F23" s="14" t="inlineStr">
        <is>
          <t>Cao</t>
        </is>
      </c>
      <c r="G23" s="15" t="inlineStr">
        <is>
          <t>Hoàn thành</t>
        </is>
      </c>
      <c r="H23" s="16" t="inlineStr">
        <is>
          <t>5</t>
        </is>
      </c>
      <c r="I23" s="16" t="inlineStr">
        <is>
          <t>6</t>
        </is>
      </c>
      <c r="J23" s="13" t="inlineStr">
        <is>
          <t>Phạm vi AI review đã chốt</t>
        </is>
      </c>
      <c r="K23" s="13" t="inlineStr">
        <is>
          <t>Đã hoàn thiện thiết kế cơ chế ConsentReceipt gắn contextHash SHA-256 bất biến, quy tắc quét secret, giới hạn byte/dòng (32 KiB / 16 KiB diff / 8 KiB source / 200 dòng) và kiểm chứng bằng 8 ca AI-T01..AI-T08 trong LlmReviewService.</t>
        </is>
      </c>
    </row>
    <row r="24" ht="80.09999999999999" customHeight="1" s="24">
      <c r="A24" s="16" t="n">
        <v>20</v>
      </c>
      <c r="B24" s="13" t="inlineStr">
        <is>
          <t>M3 — Thiết kế chi tiết</t>
        </is>
      </c>
      <c r="C24" s="13" t="inlineStr">
        <is>
          <t>Thiết kế thực nghiệm (temporal split &amp; baseline)</t>
        </is>
      </c>
      <c r="D24" s="13" t="inlineStr">
        <is>
          <t>Chốt observation/prediction window, cách xác định bug-fix file (issue label → commit-message pattern → lấy mẫu thủ công), 2 baseline (change frequency only, complexity only), metric Precision@K/Recall@K/MAP.</t>
        </is>
      </c>
      <c r="E24" s="13" t="inlineStr">
        <is>
          <t>Cả 2 (Tưởng + Toản)</t>
        </is>
      </c>
      <c r="F24" s="14" t="inlineStr">
        <is>
          <t>Cao</t>
        </is>
      </c>
      <c r="G24" s="15" t="inlineStr">
        <is>
          <t>Đang làm</t>
        </is>
      </c>
      <c r="H24" s="16" t="inlineStr">
        <is>
          <t>5</t>
        </is>
      </c>
      <c r="I24" s="16" t="inlineStr">
        <is>
          <t>6</t>
        </is>
      </c>
      <c r="J24" s="13" t="inlineStr">
        <is>
          <t>Thiết kế thuật toán tính chỉ số</t>
        </is>
      </c>
      <c r="K24" s="13" t="inlineStr">
        <is>
          <t>Toản bổ sung bản đối chiếu, fixture và công cụ evaluate_rankings.py; Tưởng chạy độc lập 8/8 test đạt ngày 23/10. Chưa chốt: split 80/20 hay prediction 30 ngày, tie-break theo ID hay path, dataset/nhãn. Hai bản vẫn ghi 'đề xuất', chưa ghi nhận đồng thuận nhóm.</t>
        </is>
      </c>
    </row>
    <row r="25" ht="23.25" customHeight="1" s="24">
      <c r="A25" s="3" t="n">
        <v>21</v>
      </c>
      <c r="B25" s="7" t="inlineStr">
        <is>
          <t>M4 — Cài đặt hệ thống</t>
        </is>
      </c>
      <c r="C25" s="7" t="inlineStr">
        <is>
          <t>Cài đặt mô-đun thu thập dữ liệu</t>
        </is>
      </c>
      <c r="D25" s="7" t="inlineStr">
        <is>
          <t>Full clone/fetch kho mã nguồn qua JGit (không dùng partial clone); commit traversal, diff, author extraction, rename detection, file lineage.</t>
        </is>
      </c>
      <c r="E25" s="7" t="inlineStr">
        <is>
          <t>Tưởng</t>
        </is>
      </c>
      <c r="F25" s="8" t="inlineStr">
        <is>
          <t>Cao</t>
        </is>
      </c>
      <c r="G25" s="10" t="inlineStr">
        <is>
          <t>Đang làm</t>
        </is>
      </c>
      <c r="H25" s="3" t="inlineStr">
        <is>
          <t>6</t>
        </is>
      </c>
      <c r="I25" s="3" t="inlineStr">
        <is>
          <t>7</t>
        </is>
      </c>
      <c r="J25" s="7" t="inlineStr">
        <is>
          <t>Thiết kế thuật toán tính chỉ số</t>
        </is>
      </c>
      <c r="K25" s="7" t="inlineStr">
        <is>
          <t>Đã cài GitRepositoryClient, GitIngestion, GitAnalysisPipeline (implement AnalysisPipeline) và GitMetricAnalysisSample; 12/12 test ingestion + 5/5 test metric/pipeline đạt. Chờ chạy lưu snapshot từ repo công khai vào PostgreSQL thật ở tuần 8 để đóng Hoàn thành.</t>
        </is>
      </c>
    </row>
    <row r="26" ht="23.25" customHeight="1" s="24">
      <c r="A26" s="3" t="n">
        <v>22</v>
      </c>
      <c r="B26" s="7" t="inlineStr">
        <is>
          <t>M4 — Cài đặt hệ thống</t>
        </is>
      </c>
      <c r="C26" s="7" t="inlineStr">
        <is>
          <t>Cài đặt mô-đun tính toán chỉ số</t>
        </is>
      </c>
      <c r="D26" s="7" t="inlineStr">
        <is>
          <t>Cài đặt các thuật toán tính chỉ số đã thiết kế; gọi Lizard đo độ phức tạp qua ProcessBuilder.</t>
        </is>
      </c>
      <c r="E26" s="7" t="inlineStr">
        <is>
          <t>Tưởng</t>
        </is>
      </c>
      <c r="F26" s="8" t="inlineStr">
        <is>
          <t>Cao</t>
        </is>
      </c>
      <c r="G26" s="10" t="inlineStr">
        <is>
          <t>Đang làm</t>
        </is>
      </c>
      <c r="H26" s="3" t="inlineStr">
        <is>
          <t>7</t>
        </is>
      </c>
      <c r="I26" s="3" t="inlineStr">
        <is>
          <t>8</t>
        </is>
      </c>
      <c r="J26" s="7" t="inlineStr">
        <is>
          <t>Cài đặt thu thập dữ liệu</t>
        </is>
      </c>
      <c r="K26" s="7" t="inlineStr">
        <is>
          <t>Đã cài LizardComplexityAnalyzer (gọi python -m lizard --xml trên blob tại headSha, deduplicate theo ObjectId) và RepositoryMetricCalculator (frequency, churn, HHI, midrank percentile hotspot, temporal coupling) tuân thủ V3; 5/5 test đạt và đã đo thực tế trên gs-rest-service, spring-petclinic, Hello-World.</t>
        </is>
      </c>
    </row>
    <row r="27" ht="23.25" customHeight="1" s="24">
      <c r="A27" s="3" t="n">
        <v>23</v>
      </c>
      <c r="B27" s="7" t="inlineStr">
        <is>
          <t>M4 — Cài đặt hệ thống</t>
        </is>
      </c>
      <c r="C27" s="7" t="inlineStr">
        <is>
          <t>Cài đặt mô-đun lưu trữ &amp; giám sát</t>
        </is>
      </c>
      <c r="D27" s="7" t="inlineStr">
        <is>
          <t>Cài đặt lưu snapshot, bộ định thời quét định kỳ (Spring Scheduling); job state lưu trong PostgreSQL, xử lý bằng bounded TaskExecutor (không dùng Redis); sinh cảnh báo theo ngưỡng.</t>
        </is>
      </c>
      <c r="E27" s="7" t="inlineStr">
        <is>
          <t>Toản</t>
        </is>
      </c>
      <c r="F27" s="8" t="inlineStr">
        <is>
          <t>Cao</t>
        </is>
      </c>
      <c r="G27" s="10" t="inlineStr">
        <is>
          <t>Đang làm</t>
        </is>
      </c>
      <c r="H27" s="3" t="inlineStr">
        <is>
          <t>6</t>
        </is>
      </c>
      <c r="I27" s="3" t="inlineStr">
        <is>
          <t>7</t>
        </is>
      </c>
      <c r="J27" s="7" t="inlineStr">
        <is>
          <t>Thiết kế cơ chế giám sát</t>
        </is>
      </c>
      <c r="K27" s="7" t="inlineStr">
        <is>
          <t>Toản bổ sung migration V3 (nullable metrics có unavailable_reason, retry_of cùng repository) và kiểm tra toàn vẹn Claim khi publish; 58/58 test trên nhánh Toản và 88/88 test trên checkout kết hợp đạt trên PostgreSQL 18.3 (bàn giao tuần 7).</t>
        </is>
      </c>
    </row>
    <row r="28" ht="90" customHeight="1" s="24">
      <c r="A28" s="16" t="n">
        <v>24</v>
      </c>
      <c r="B28" s="13" t="inlineStr">
        <is>
          <t>M4 — Cài đặt hệ thống</t>
        </is>
      </c>
      <c r="C28" s="13" t="inlineStr">
        <is>
          <t>Cài đặt tầng API</t>
        </is>
      </c>
      <c r="D28" s="13" t="inlineStr">
        <is>
          <t>Xây dựng REST API cho giao diện; job xử lý bất đồng bộ qua PostgreSQL + TaskExecutor (đã bỏ Redis/Redisson khỏi core).</t>
        </is>
      </c>
      <c r="E28" s="13" t="inlineStr">
        <is>
          <t>Toản</t>
        </is>
      </c>
      <c r="F28" s="14" t="inlineStr">
        <is>
          <t>Cao</t>
        </is>
      </c>
      <c r="G28" s="15" t="inlineStr">
        <is>
          <t>Đang làm</t>
        </is>
      </c>
      <c r="H28" s="16" t="inlineStr">
        <is>
          <t>7</t>
        </is>
      </c>
      <c r="I28" s="16" t="inlineStr">
        <is>
          <t>8</t>
        </is>
      </c>
      <c r="J28" s="13" t="inlineStr">
        <is>
          <t>Cài đặt lưu trữ &amp; giám sát</t>
        </is>
      </c>
      <c r="K28" s="13" t="inlineStr">
        <is>
          <t>Toản cài SnapshotQueries và SnapshotQueryController: API chi tiết file, contributions (ẩn email thô), evidence phân trang, coupling 2 chiều, trend qua rename, comparison và retry job; 17 test mới đạt trên PostgreSQL 18.3. Tiếp tục tích hợp frontend tuần 8.</t>
        </is>
      </c>
    </row>
    <row r="29" ht="23.25" customHeight="1" s="24">
      <c r="A29" s="3" t="n">
        <v>25</v>
      </c>
      <c r="B29" s="7" t="inlineStr">
        <is>
          <t>M4 — Cài đặt hệ thống</t>
        </is>
      </c>
      <c r="C29" s="7" t="inlineStr">
        <is>
          <t>Cài đặt module trợ lý rà soát bằng LLM</t>
        </is>
      </c>
      <c r="D29" s="7" t="inlineStr">
        <is>
          <t>Cài đặt LLMReviewService: provider adapter thật cho production, fake/mock provider cho test; context builder giới hạn kích thước, validate response theo schema.</t>
        </is>
      </c>
      <c r="E29" s="7" t="inlineStr">
        <is>
          <t>Tưởng</t>
        </is>
      </c>
      <c r="F29" s="8" t="inlineStr">
        <is>
          <t>Cao</t>
        </is>
      </c>
      <c r="G29" s="10" t="inlineStr">
        <is>
          <t>Đang làm</t>
        </is>
      </c>
      <c r="H29" s="3" t="inlineStr">
        <is>
          <t>7</t>
        </is>
      </c>
      <c r="I29" s="3" t="inlineStr">
        <is>
          <t>8</t>
        </is>
      </c>
      <c r="J29" s="7" t="inlineStr">
        <is>
          <t>Thiết kế module trợ lý rà soát bằng LLM</t>
        </is>
      </c>
      <c r="K29" s="7" t="inlineStr">
        <is>
          <t>Tưởng đã cài LlmReviewService (com.example.demo.aireview): kiểm tra consent/contextHash, ghim headSha, quét secret, giới hạn byte/dòng, quota 1/repo &amp; 2/server &amp; 5/phút, render prompt ai-review/v1 và validate JSON schema + allowlist evidenceId; đạt 8/8 test AI-T01..AI-T08. Chờ nối HTTP/provider tuần 8.</t>
        </is>
      </c>
    </row>
    <row r="30" ht="72" customHeight="1" s="24">
      <c r="A30" s="16" t="n">
        <v>26</v>
      </c>
      <c r="B30" s="13" t="inlineStr">
        <is>
          <t>M4 — Cài đặt hệ thống</t>
        </is>
      </c>
      <c r="C30" s="13" t="inlineStr">
        <is>
          <t>Cài đặt giao diện người dùng</t>
        </is>
      </c>
      <c r="D30" s="13" t="inlineStr">
        <is>
          <t>Xây dựng ứng dụng React/TypeScript: biểu đồ xu hướng, bản đồ điểm nóng (Recharts/D3.js), màn hình AI review.</t>
        </is>
      </c>
      <c r="E30" s="13" t="inlineStr">
        <is>
          <t>Toản</t>
        </is>
      </c>
      <c r="F30" s="14" t="inlineStr">
        <is>
          <t>Trung bình</t>
        </is>
      </c>
      <c r="G30" s="15" t="inlineStr">
        <is>
          <t>Đang làm</t>
        </is>
      </c>
      <c r="H30" s="16" t="inlineStr">
        <is>
          <t>8</t>
        </is>
      </c>
      <c r="I30" s="16" t="inlineStr">
        <is>
          <t>8</t>
        </is>
      </c>
      <c r="J30" s="13" t="inlineStr">
        <is>
          <t>Thiết kế UI, API sẵn dùng</t>
        </is>
      </c>
      <c r="K30" s="13" t="inlineStr">
        <is>
          <t>Đã có giao diện React đăng ký, xem danh sách/chi tiết repository và biểu đồ minh họa. Chưa có dashboard metric thật, hotspot, snapshot, cảnh báo hoặc AI review.</t>
        </is>
      </c>
    </row>
    <row r="31" ht="72" customHeight="1" s="24">
      <c r="A31" s="16" t="n">
        <v>27</v>
      </c>
      <c r="B31" s="13" t="inlineStr">
        <is>
          <t>M4 — Cài đặt hệ thống</t>
        </is>
      </c>
      <c r="C31" s="13" t="inlineStr">
        <is>
          <t>Đóng gói và triển khai bằng Docker</t>
        </is>
      </c>
      <c r="D31" s="13" t="inlineStr">
        <is>
          <t>Viết Dockerfile/docker-compose cho backend, frontend, PostgreSQL (không có Redis); duy trì auto-deploy staging đều mỗi tuần.</t>
        </is>
      </c>
      <c r="E31" s="13" t="inlineStr">
        <is>
          <t>Cả 2 (Tưởng + Toản)</t>
        </is>
      </c>
      <c r="F31" s="14" t="inlineStr">
        <is>
          <t>Trung bình</t>
        </is>
      </c>
      <c r="G31" s="15" t="inlineStr">
        <is>
          <t>Chưa bắt đầu</t>
        </is>
      </c>
      <c r="H31" s="16" t="inlineStr">
        <is>
          <t>8</t>
        </is>
      </c>
      <c r="I31" s="16" t="inlineStr">
        <is>
          <t>8</t>
        </is>
      </c>
      <c r="J31" s="13" t="inlineStr">
        <is>
          <t>Các mô-đun đã hoàn thành</t>
        </is>
      </c>
      <c r="K31" s="13" t="inlineStr">
        <is>
          <t>Đã có cấu hình Docker/Compose và staging nền từ tuần 3. Chưa đóng gói, kiểm chứng toàn bộ các module theo phạm vi M4.</t>
        </is>
      </c>
    </row>
    <row r="32" ht="90" customHeight="1" s="24">
      <c r="A32" s="3" t="n">
        <v>28</v>
      </c>
      <c r="B32" s="7" t="inlineStr">
        <is>
          <t>M4 — Cài đặt hệ thống</t>
        </is>
      </c>
      <c r="C32" s="7" t="inlineStr">
        <is>
          <t>Tích hợp và kiểm thử toàn hệ thống</t>
        </is>
      </c>
      <c r="D32" s="7" t="inlineStr">
        <is>
          <t>Ghép các mô-đun, kiểm thử end-to-end trên vài repo mẫu (kể cả module AI review với fake provider/timeout/fallback), sửa lỗi phát sinh.</t>
        </is>
      </c>
      <c r="E32" s="7" t="inlineStr">
        <is>
          <t>Cả 2 (Tưởng + Toản)</t>
        </is>
      </c>
      <c r="F32" s="8" t="inlineStr">
        <is>
          <t>Cao</t>
        </is>
      </c>
      <c r="G32" s="10" t="inlineStr">
        <is>
          <t>Chưa bắt đầu</t>
        </is>
      </c>
      <c r="H32" s="3" t="inlineStr">
        <is>
          <t>8</t>
        </is>
      </c>
      <c r="I32" s="3" t="inlineStr">
        <is>
          <t>8</t>
        </is>
      </c>
      <c r="J32" s="7" t="inlineStr">
        <is>
          <t>Đóng gói Docker</t>
        </is>
      </c>
      <c r="K32" s="7" t="inlineStr">
        <is>
          <t>Chưa kiểm thử tích hợp toàn bộ pipeline. Tuần 5 mới xác thực API repository/health với PostgreSQL riêng; 40 test backend đạt không đồng nghĩa toàn hệ thống đã nghiệm thu.</t>
        </is>
      </c>
    </row>
    <row r="33" ht="38.25" customHeight="1" s="24">
      <c r="A33" s="3" t="n">
        <v>29</v>
      </c>
      <c r="B33" s="7" t="inlineStr">
        <is>
          <t>M5 — Thực nghiệm &amp; đánh giá</t>
        </is>
      </c>
      <c r="C33" s="7" t="inlineStr">
        <is>
          <t>Chọn tập dữ liệu thực nghiệm</t>
        </is>
      </c>
      <c r="D33" s="7" t="inlineStr">
        <is>
          <t>Xác định tiêu chí, chọn 3–5 dự án Java OSS đủ lịch sử; chọn trước khi xem kết quả mô hình để hạn chế cherry-picking.</t>
        </is>
      </c>
      <c r="E33" s="7" t="inlineStr">
        <is>
          <t>Cả 2 (Tưởng + Toản)</t>
        </is>
      </c>
      <c r="F33" s="8" t="inlineStr">
        <is>
          <t>Trung bình</t>
        </is>
      </c>
      <c r="G33" s="10" t="inlineStr">
        <is>
          <t>Chưa bắt đầu</t>
        </is>
      </c>
      <c r="H33" s="3" t="inlineStr">
        <is>
          <t>9</t>
        </is>
      </c>
      <c r="I33" s="3" t="inlineStr">
        <is>
          <t>9</t>
        </is>
      </c>
      <c r="J33" s="7" t="inlineStr">
        <is>
          <t>Hệ thống chạy được</t>
        </is>
      </c>
      <c r="K33" s="7" t="n"/>
    </row>
    <row r="34" ht="15" customHeight="1" s="24">
      <c r="A34" s="3" t="n">
        <v>30</v>
      </c>
      <c r="B34" s="7" t="inlineStr">
        <is>
          <t>M5 — Thực nghiệm &amp; đánh giá</t>
        </is>
      </c>
      <c r="C34" s="7" t="inlineStr">
        <is>
          <t>Thực nghiệm RQ1: xếp hạng rủi ro</t>
        </is>
      </c>
      <c r="D34" s="7" t="inlineStr">
        <is>
          <t>So sánh mô hình kết hợp (hotspot score) với 2 baseline (change frequency only, complexity only) theo temporal split; đo Precision@K, Recall@K, MAP.</t>
        </is>
      </c>
      <c r="E34" s="7" t="inlineStr">
        <is>
          <t>Tưởng</t>
        </is>
      </c>
      <c r="F34" s="8" t="inlineStr">
        <is>
          <t>Cao</t>
        </is>
      </c>
      <c r="G34" s="10" t="inlineStr">
        <is>
          <t>Chưa bắt đầu</t>
        </is>
      </c>
      <c r="H34" s="3" t="inlineStr">
        <is>
          <t>9</t>
        </is>
      </c>
      <c r="I34" s="3" t="inlineStr">
        <is>
          <t>9</t>
        </is>
      </c>
      <c r="J34" s="7" t="inlineStr">
        <is>
          <t>Chọn dữ liệu thực nghiệm</t>
        </is>
      </c>
      <c r="K34" s="7" t="n"/>
    </row>
    <row r="35" ht="38.25" customHeight="1" s="24">
      <c r="A35" s="3" t="n">
        <v>31</v>
      </c>
      <c r="B35" s="7" t="inlineStr">
        <is>
          <t>M5 — Thực nghiệm &amp; đánh giá</t>
        </is>
      </c>
      <c r="C35" s="7" t="inlineStr">
        <is>
          <t>Thực nghiệm RQ2: theo dõi xu hướng qua snapshot</t>
        </is>
      </c>
      <c r="D35" s="7" t="inlineStr">
        <is>
          <t>Chạy giám sát nhiều lần trên dữ liệu lịch sử, đánh giá khả năng phát hiện và giải thích thay đổi rủi ro bảo trì theo thời gian.</t>
        </is>
      </c>
      <c r="E35" s="7" t="inlineStr">
        <is>
          <t>Toản</t>
        </is>
      </c>
      <c r="F35" s="8" t="inlineStr">
        <is>
          <t>Cao</t>
        </is>
      </c>
      <c r="G35" s="10" t="inlineStr">
        <is>
          <t>Chưa bắt đầu</t>
        </is>
      </c>
      <c r="H35" s="3" t="inlineStr">
        <is>
          <t>9</t>
        </is>
      </c>
      <c r="I35" s="3" t="inlineStr">
        <is>
          <t>10</t>
        </is>
      </c>
      <c r="J35" s="7" t="inlineStr">
        <is>
          <t>Chọn dữ liệu thực nghiệm</t>
        </is>
      </c>
      <c r="K35" s="7" t="n"/>
    </row>
    <row r="36" ht="25.5" customHeight="1" s="24">
      <c r="A36" s="3" t="n">
        <v>32</v>
      </c>
      <c r="B36" s="7" t="inlineStr">
        <is>
          <t>M5 — Thực nghiệm &amp; đánh giá</t>
        </is>
      </c>
      <c r="C36" s="7" t="inlineStr">
        <is>
          <t>Thực nghiệm hiệu năng</t>
        </is>
      </c>
      <c r="D36" s="7" t="inlineStr">
        <is>
          <t>Đo thời gian phân tích theo quy mô kho mã nguồn (tối đa 10.000 commit gần nhất).</t>
        </is>
      </c>
      <c r="E36" s="7" t="inlineStr">
        <is>
          <t>Toản</t>
        </is>
      </c>
      <c r="F36" s="8" t="inlineStr">
        <is>
          <t>Trung bình</t>
        </is>
      </c>
      <c r="G36" s="10" t="inlineStr">
        <is>
          <t>Chưa bắt đầu</t>
        </is>
      </c>
      <c r="H36" s="3" t="inlineStr">
        <is>
          <t>10</t>
        </is>
      </c>
      <c r="I36" s="3" t="inlineStr">
        <is>
          <t>10</t>
        </is>
      </c>
      <c r="J36" s="7" t="inlineStr">
        <is>
          <t>Hệ thống chạy được</t>
        </is>
      </c>
      <c r="K36" s="7" t="n"/>
    </row>
    <row r="37" ht="110.1" customHeight="1" s="24">
      <c r="A37" s="16" t="n">
        <v>33</v>
      </c>
      <c r="B37" s="13" t="inlineStr">
        <is>
          <t>M5 — Thực nghiệm &amp; đánh giá</t>
        </is>
      </c>
      <c r="C37" s="13" t="inlineStr">
        <is>
          <t>Thực nghiệm người dùng (RQ3)</t>
        </is>
      </c>
      <c r="D37" s="13" t="inlineStr">
        <is>
          <t>Tuyển 5–9 người dùng thực (mức cam kết Mức 4); thực hiện 7 task chuẩn (thêm repo, tìm 5 file ưu tiên, giải thích risk, xác định coupling, xem snapshot, xác định cảnh báo, dùng trợ lý AI review); đo task success ≥80%, SUS ≥68.</t>
        </is>
      </c>
      <c r="E37" s="13" t="inlineStr">
        <is>
          <t>Cả 2 (Tưởng + Toản)</t>
        </is>
      </c>
      <c r="F37" s="14" t="inlineStr">
        <is>
          <t>Cao</t>
        </is>
      </c>
      <c r="G37" s="15" t="inlineStr">
        <is>
          <t>Chưa bắt đầu</t>
        </is>
      </c>
      <c r="H37" s="16" t="inlineStr">
        <is>
          <t>10</t>
        </is>
      </c>
      <c r="I37" s="16" t="inlineStr">
        <is>
          <t>10</t>
        </is>
      </c>
      <c r="J37" s="13" t="inlineStr">
        <is>
          <t>Hệ thống chạy được</t>
        </is>
      </c>
      <c r="K37" s="13" t="inlineStr">
        <is>
          <t>Giữ mục tiêu đề cương: 5–9 người, task success ≥80%, SUS ≥68. KPI nâng cao trong tài liệu tuần 4 là đề xuất, chưa thay cam kết này.</t>
        </is>
      </c>
    </row>
    <row r="38" ht="38.25" customHeight="1" s="24">
      <c r="A38" s="3" t="n">
        <v>34</v>
      </c>
      <c r="B38" s="7" t="inlineStr">
        <is>
          <t>M5 — Thực nghiệm &amp; đánh giá</t>
        </is>
      </c>
      <c r="C38" s="7" t="inlineStr">
        <is>
          <t>Cải tiến sau phản hồi người dùng</t>
        </is>
      </c>
      <c r="D38" s="7" t="inlineStr">
        <is>
          <t>Thực hiện ít nhất một vòng cải tiến sản phẩm dựa trên phản hồi thực nghiệm người dùng.</t>
        </is>
      </c>
      <c r="E38" s="7" t="inlineStr">
        <is>
          <t>Cả 2 (Tưởng + Toản)</t>
        </is>
      </c>
      <c r="F38" s="8" t="inlineStr">
        <is>
          <t>Trung bình</t>
        </is>
      </c>
      <c r="G38" s="10" t="inlineStr">
        <is>
          <t>Chưa bắt đầu</t>
        </is>
      </c>
      <c r="H38" s="3" t="inlineStr">
        <is>
          <t>10</t>
        </is>
      </c>
      <c r="I38" s="3" t="inlineStr">
        <is>
          <t>11</t>
        </is>
      </c>
      <c r="J38" s="7" t="inlineStr">
        <is>
          <t>Thực nghiệm người dùng (RQ3)</t>
        </is>
      </c>
      <c r="K38" s="7" t="n"/>
    </row>
    <row r="39" ht="38.25" customHeight="1" s="24">
      <c r="A39" s="3" t="n">
        <v>35</v>
      </c>
      <c r="B39" s="7" t="inlineStr">
        <is>
          <t>M5 — Thực nghiệm &amp; đánh giá</t>
        </is>
      </c>
      <c r="C39" s="7" t="inlineStr">
        <is>
          <t>Tổng hợp và so sánh với công cụ hiện có</t>
        </is>
      </c>
      <c r="D39" s="7" t="inlineStr">
        <is>
          <t>Tổng hợp kết quả RQ1–RQ3, so sánh với SonarQube/CodeScene, nêu Threats to Validity và hạn chế của kết quả thực nghiệm.</t>
        </is>
      </c>
      <c r="E39" s="7" t="inlineStr">
        <is>
          <t>Cả 2 (Tưởng + Toản)</t>
        </is>
      </c>
      <c r="F39" s="8" t="inlineStr">
        <is>
          <t>Trung bình</t>
        </is>
      </c>
      <c r="G39" s="10" t="inlineStr">
        <is>
          <t>Chưa bắt đầu</t>
        </is>
      </c>
      <c r="H39" s="3" t="inlineStr">
        <is>
          <t>10</t>
        </is>
      </c>
      <c r="I39" s="3" t="inlineStr">
        <is>
          <t>11</t>
        </is>
      </c>
      <c r="J39" s="7" t="inlineStr">
        <is>
          <t>Các thực nghiệm hoàn thành</t>
        </is>
      </c>
      <c r="K39" s="7" t="n"/>
    </row>
    <row r="40" ht="25.5" customHeight="1" s="24">
      <c r="A40" s="3" t="n">
        <v>36</v>
      </c>
      <c r="B40" s="7" t="inlineStr">
        <is>
          <t>M6 — Viết &amp; hoàn thiện</t>
        </is>
      </c>
      <c r="C40" s="7" t="inlineStr">
        <is>
          <t>Viết Chương 3 và Chương 4</t>
        </is>
      </c>
      <c r="D40" s="7" t="inlineStr">
        <is>
          <t>Viết nội dung cài đặt hệ thống và thực nghiệm - đánh giá dựa trên kết quả thực tế đã có.</t>
        </is>
      </c>
      <c r="E40" s="7" t="inlineStr">
        <is>
          <t>Cả 2 (Tưởng + Toản)</t>
        </is>
      </c>
      <c r="F40" s="8" t="inlineStr">
        <is>
          <t>Cao</t>
        </is>
      </c>
      <c r="G40" s="10" t="inlineStr">
        <is>
          <t>Chưa bắt đầu</t>
        </is>
      </c>
      <c r="H40" s="3" t="inlineStr">
        <is>
          <t>11</t>
        </is>
      </c>
      <c r="I40" s="3" t="inlineStr">
        <is>
          <t>11</t>
        </is>
      </c>
      <c r="J40" s="7" t="inlineStr">
        <is>
          <t>M4, M5 hoàn thành</t>
        </is>
      </c>
      <c r="K40" s="7" t="n"/>
    </row>
    <row r="41" ht="25.5" customHeight="1" s="24">
      <c r="A41" s="3" t="n">
        <v>37</v>
      </c>
      <c r="B41" s="7" t="inlineStr">
        <is>
          <t>M6 — Viết &amp; hoàn thiện</t>
        </is>
      </c>
      <c r="C41" s="7" t="inlineStr">
        <is>
          <t>Viết kết luận, tài liệu tham khảo, phụ lục</t>
        </is>
      </c>
      <c r="D41" s="7" t="inlineStr">
        <is>
          <t>Tổng kết kết quả đạt được, hạn chế đề tài, hướng phát triển; hoàn thiện danh mục tài liệu tham khảo.</t>
        </is>
      </c>
      <c r="E41" s="7" t="inlineStr">
        <is>
          <t>Cả 2 (Tưởng + Toản)</t>
        </is>
      </c>
      <c r="F41" s="8" t="inlineStr">
        <is>
          <t>Trung bình</t>
        </is>
      </c>
      <c r="G41" s="10" t="inlineStr">
        <is>
          <t>Chưa bắt đầu</t>
        </is>
      </c>
      <c r="H41" s="3" t="inlineStr">
        <is>
          <t>11</t>
        </is>
      </c>
      <c r="I41" s="3" t="inlineStr">
        <is>
          <t>11</t>
        </is>
      </c>
      <c r="J41" s="7" t="inlineStr">
        <is>
          <t>Viết Chương 3-4</t>
        </is>
      </c>
      <c r="K41" s="7" t="n"/>
    </row>
    <row r="42" ht="25.5" customHeight="1" s="24">
      <c r="A42" s="3" t="n">
        <v>38</v>
      </c>
      <c r="B42" s="7" t="inlineStr">
        <is>
          <t>M6 — Viết &amp; hoàn thiện</t>
        </is>
      </c>
      <c r="C42" s="7" t="inlineStr">
        <is>
          <t>Chuẩn bị bản demo và slide báo cáo</t>
        </is>
      </c>
      <c r="D42" s="7" t="inlineStr">
        <is>
          <t>Chuẩn bị kịch bản demo trên vài repo mẫu và slide trình bày trước GVHD.</t>
        </is>
      </c>
      <c r="E42" s="7" t="inlineStr">
        <is>
          <t>Cả 2 (Tưởng + Toản)</t>
        </is>
      </c>
      <c r="F42" s="8" t="inlineStr">
        <is>
          <t>Cao</t>
        </is>
      </c>
      <c r="G42" s="10" t="inlineStr">
        <is>
          <t>Chưa bắt đầu</t>
        </is>
      </c>
      <c r="H42" s="3" t="inlineStr">
        <is>
          <t>12</t>
        </is>
      </c>
      <c r="I42" s="3" t="inlineStr">
        <is>
          <t>12</t>
        </is>
      </c>
      <c r="J42" s="7" t="inlineStr">
        <is>
          <t>Hệ thống hoàn chỉnh</t>
        </is>
      </c>
      <c r="K42" s="7" t="n"/>
    </row>
    <row r="43" ht="38.25" customHeight="1" s="24">
      <c r="A43" s="3" t="n">
        <v>39</v>
      </c>
      <c r="B43" s="7" t="inlineStr">
        <is>
          <t>M6 — Viết &amp; hoàn thiện</t>
        </is>
      </c>
      <c r="C43" s="7" t="inlineStr">
        <is>
          <t>Rà soát, chỉnh sửa và nộp tiểu luận</t>
        </is>
      </c>
      <c r="D43" s="7" t="inlineStr">
        <is>
          <t>Đọc lại toàn bộ tiểu luận, format theo quy định, kiểm tra lỗi chính tả/trích dẫn, nộp bài đúng hạn.</t>
        </is>
      </c>
      <c r="E43" s="7" t="inlineStr">
        <is>
          <t>Cả 2 (Tưởng + Toản)</t>
        </is>
      </c>
      <c r="F43" s="8" t="inlineStr">
        <is>
          <t>Cao</t>
        </is>
      </c>
      <c r="G43" s="10" t="inlineStr">
        <is>
          <t>Chưa bắt đầu</t>
        </is>
      </c>
      <c r="H43" s="3" t="inlineStr">
        <is>
          <t>12</t>
        </is>
      </c>
      <c r="I43" s="3" t="inlineStr">
        <is>
          <t>12</t>
        </is>
      </c>
      <c r="J43" s="7" t="inlineStr">
        <is>
          <t>Toàn bộ nội dung hoàn thành</t>
        </is>
      </c>
      <c r="K43" s="7" t="n"/>
    </row>
    <row r="44"/>
    <row r="45" ht="15" customHeight="1" s="24">
      <c r="A45" s="11" t="inlineStr">
        <is>
          <t>Chú thích trạng thái:</t>
        </is>
      </c>
      <c r="B45" s="9" t="inlineStr">
        <is>
          <t>Hoàn thành</t>
        </is>
      </c>
      <c r="C45" s="12" t="inlineStr">
        <is>
          <t>Đang làm</t>
        </is>
      </c>
      <c r="D45" s="10" t="inlineStr">
        <is>
          <t>Chưa bắt đầu</t>
        </is>
      </c>
      <c r="E45" s="8" t="inlineStr">
        <is>
          <t>Bị trì hoãn</t>
        </is>
      </c>
    </row>
  </sheetData>
  <mergeCells count="2">
    <mergeCell ref="A2:K2"/>
    <mergeCell ref="A1:K1"/>
  </mergeCells>
  <dataValidations count="2">
    <dataValidation sqref="G5:G43" showDropDown="0" showInputMessage="0" showErrorMessage="0" allowBlank="1" type="list">
      <formula1>"Chưa bắt đầu,Đang làm,Hoàn thành,Bị trì hoãn"</formula1>
      <formula2>0</formula2>
    </dataValidation>
    <dataValidation sqref="F5:F43" showDropDown="0" showInputMessage="0" showErrorMessage="0" allowBlank="1" type="list">
      <formula1>"Cao,Trung bình,Thấp"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2026-10-23T03:50:03Z</dcterms:created>
  <dcterms:modified xmlns:dcterms="http://purl.org/dc/terms/" xmlns:xsi="http://www.w3.org/2001/XMLSchema-instance" xsi:type="dcterms:W3CDTF">2026-10-30T06:54:04Z</dcterms:modified>
  <cp:lastModifiedBy>Tưởng Trần</cp:lastModifiedBy>
</cp:coreProperties>
</file>