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8_{8D216989-5C73-4C88-ADE1-E1B8FB5AAB16}" xr6:coauthVersionLast="47" xr6:coauthVersionMax="47" xr10:uidLastSave="{00000000-0000-0000-0000-000000000000}"/>
  <bookViews>
    <workbookView xWindow="-120" yWindow="-120" windowWidth="29040" windowHeight="15990" tabRatio="500" activeTab="1" xr2:uid="{00000000-000D-0000-FFFF-FFFF00000000}"/>
  </bookViews>
  <sheets>
    <sheet name="Dashboard" sheetId="1" r:id="rId1"/>
    <sheet name="Kế hoạch chi tiế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F18" i="1"/>
  <c r="E18" i="1"/>
  <c r="D18" i="1"/>
  <c r="C18" i="1"/>
  <c r="H18" i="1" s="1"/>
  <c r="G17" i="1"/>
  <c r="F17" i="1"/>
  <c r="E17" i="1"/>
  <c r="D17" i="1"/>
  <c r="C17" i="1"/>
  <c r="H17" i="1" s="1"/>
  <c r="G16" i="1"/>
  <c r="F16" i="1"/>
  <c r="E16" i="1"/>
  <c r="D16" i="1"/>
  <c r="C16" i="1"/>
  <c r="H16" i="1" s="1"/>
  <c r="G15" i="1"/>
  <c r="F15" i="1"/>
  <c r="E15" i="1"/>
  <c r="D15" i="1"/>
  <c r="C15" i="1"/>
  <c r="H15" i="1" s="1"/>
  <c r="G14" i="1"/>
  <c r="F14" i="1"/>
  <c r="E14" i="1"/>
  <c r="D14" i="1"/>
  <c r="C14" i="1"/>
  <c r="H14" i="1" s="1"/>
  <c r="G13" i="1"/>
  <c r="F13" i="1"/>
  <c r="E13" i="1"/>
  <c r="D13" i="1"/>
  <c r="C13" i="1"/>
  <c r="H13" i="1" s="1"/>
  <c r="G12" i="1"/>
  <c r="G19" i="1" s="1"/>
  <c r="F12" i="1"/>
  <c r="F19" i="1" s="1"/>
  <c r="E12" i="1"/>
  <c r="E19" i="1" s="1"/>
  <c r="D12" i="1"/>
  <c r="D19" i="1" s="1"/>
  <c r="C12" i="1"/>
  <c r="C19" i="1" s="1"/>
  <c r="H19" i="1" l="1"/>
  <c r="H12" i="1"/>
</calcChain>
</file>

<file path=xl/sharedStrings.xml><?xml version="1.0" encoding="utf-8"?>
<sst xmlns="http://schemas.openxmlformats.org/spreadsheetml/2006/main" count="400" uniqueCount="158">
  <si>
    <t>TỔNG QUAN TIẾN ĐỘ ĐỀ TÀI</t>
  </si>
  <si>
    <t>Xây dựng hệ thống phân tích và giám sát sức khỏe dự án phần mềm dựa trên lịch sử kho mã nguồn Git (12 tuần / 2 thành viên)</t>
  </si>
  <si>
    <t>Thành viên 1</t>
  </si>
  <si>
    <t>Trần Văn Tưởng — MSSV 23110170</t>
  </si>
  <si>
    <t>Thành viên 2</t>
  </si>
  <si>
    <t>Trần Quang Toản — MSSV 23110158</t>
  </si>
  <si>
    <t>GVHD</t>
  </si>
  <si>
    <t>PGS.TS. Hoàng Văn Dũng</t>
  </si>
  <si>
    <t>Cập nhật lần cuối</t>
  </si>
  <si>
    <t>13/09/2026</t>
  </si>
  <si>
    <t>Giai đoạn</t>
  </si>
  <si>
    <t>Tổng số việc</t>
  </si>
  <si>
    <t>Chưa bắt đầu</t>
  </si>
  <si>
    <t>Đang làm</t>
  </si>
  <si>
    <t>Hoàn thành</t>
  </si>
  <si>
    <t>Bị trì hoãn</t>
  </si>
  <si>
    <t>% Hoàn thành</t>
  </si>
  <si>
    <t>M0 — Đề cương</t>
  </si>
  <si>
    <t>M1 — Nghiên cứu &amp; khảo sát</t>
  </si>
  <si>
    <t>M2 — Phân tích &amp; thiết kế kiến trúc</t>
  </si>
  <si>
    <t>M3 — Thiết kế chi tiết</t>
  </si>
  <si>
    <t>M4 — Cài đặt hệ thống</t>
  </si>
  <si>
    <t>M5 — Thực nghiệm &amp; đánh giá</t>
  </si>
  <si>
    <t>M6 — Viết &amp; hoàn thiện</t>
  </si>
  <si>
    <t>TỔNG CỘNG</t>
  </si>
  <si>
    <t>Phân công: M0–M2 và M5–M6 cả nhóm cùng làm chung. Trong M3–M4 (thiết kế chi tiết &amp; cài đặt), Tưởng phụ trách thu thập dữ liệu và thuật toán tính chỉ số; Toản phụ trách lưu trữ/giám sát, tầng API, cơ sở dữ liệu và giao diện người dùng.</t>
  </si>
  <si>
    <t>KẾ HOẠCH CHI TIẾT — Tiểu luận chuyên ngành</t>
  </si>
  <si>
    <t>Xây dựng hệ thống phân tích và giám sát sức khỏe dự án phần mềm dựa trên lịch sử kho mã nguồn Git — 12 tuần — Tưởng (23110170) &amp; Toản (23110158)</t>
  </si>
  <si>
    <t>STT</t>
  </si>
  <si>
    <t>Công việc</t>
  </si>
  <si>
    <t>Mô tả / Cách làm</t>
  </si>
  <si>
    <t>Người phụ trách</t>
  </si>
  <si>
    <t>Độ ưu tiên</t>
  </si>
  <si>
    <t>Trạng thái</t>
  </si>
  <si>
    <t>Tuần bắt đầu</t>
  </si>
  <si>
    <t>Tuần kết thúc</t>
  </si>
  <si>
    <t>Phụ thuộc</t>
  </si>
  <si>
    <t>Ghi chú</t>
  </si>
  <si>
    <t>Hoàn thành đề cương tiểu luận</t>
  </si>
  <si>
    <t>Xác định lý do chọn đề tài, mục tiêu, phạm vi, phương pháp thực hiện và đề cương chi tiết các chương.</t>
  </si>
  <si>
    <t>Cả 2 (Tưởng + Toản)</t>
  </si>
  <si>
    <t>Cao</t>
  </si>
  <si>
    <t>1</t>
  </si>
  <si>
    <t>—</t>
  </si>
  <si>
    <t>Đã nộp GVHD duyệt — bản design-first</t>
  </si>
  <si>
    <t>Duy trì AI Usage Log</t>
  </si>
  <si>
    <t>Ghi công cụ AI đã dùng, phạm vi, prompt chính, phần AI hỗ trợ/đã chỉnh sửa, lỗi/ảo giác phát hiện được; đối chiếu với lịch sử commit và báo cáo tuần trên web khoa.</t>
  </si>
  <si>
    <t>12</t>
  </si>
  <si>
    <t>Bắt buộc theo TC2.3, độc lập với việc sản phẩm có module AI hay không</t>
  </si>
  <si>
    <t>Nghiên cứu nợ kỹ thuật và hướng MSR</t>
  </si>
  <si>
    <t>Đọc tài liệu về technical debt, Mining Software Repositories; tổng hợp khái niệm dùng cho Chương 1.</t>
  </si>
  <si>
    <t>2</t>
  </si>
  <si>
    <t>M0</t>
  </si>
  <si>
    <t>Nghiên cứu bộ chỉ số sức khỏe mã nguồn</t>
  </si>
  <si>
    <t>Tìm hiểu change frequency, code churn, cyclomatic complexity, hotspot score, temporal coupling, ownership/knowledge concentration — công thức và ý nghĩa (không dùng thuật ngữ Bus Factor ở cấp file).</t>
  </si>
  <si>
    <t>3</t>
  </si>
  <si>
    <t>Khảo sát công cụ hiện có (competitor matrix)</t>
  </si>
  <si>
    <t>So sánh SonarQube, CodeScene, Code Maat, CodeCharta (Git-of-Theseus bổ sung nếu cần); lập competitor matrix xác định khoảng trống đề tài hướng tới.</t>
  </si>
  <si>
    <t>Trung bình</t>
  </si>
  <si>
    <t>Tìm hiểu công nghệ sử dụng</t>
  </si>
  <si>
    <t>Đọc tài liệu Spring Boot, JGit, PostgreSQL, Lizard, React, Recharts/D3.js, Docker, GitHub Actions để chuẩn bị cài đặt.</t>
  </si>
  <si>
    <t>Không dùng Redis trong core theo đề cương mới</t>
  </si>
  <si>
    <t>Phỏng vấn stakeholder</t>
  </si>
  <si>
    <t>Phỏng vấn ít nhất 3 người có kinh nghiệm phát triển dự án dùng Git để kiểm chứng nhu cầu người dùng và điều chỉnh workflow trước khi chốt SRS.</t>
  </si>
  <si>
    <t>Phân tích yêu cầu hệ thống</t>
  </si>
  <si>
    <t>Xác định nhóm người dùng, yêu cầu chức năng và phi chức năng (hiệu năng, mở rộng, bảo mật).</t>
  </si>
  <si>
    <t>4</t>
  </si>
  <si>
    <t>M1</t>
  </si>
  <si>
    <t>Vẽ use case và đặc tả use case chính</t>
  </si>
  <si>
    <t>Lập biểu đồ use case tổng quát; đặc tả 100% use case cốt lõi (phân tích repo, xem báo cáo, cảnh báo, AI review) có precondition/main flow/alternate/exception/acceptance criteria.</t>
  </si>
  <si>
    <t>Phân tích yêu cầu</t>
  </si>
  <si>
    <t>Xác định business rules và NFR</t>
  </si>
  <si>
    <t>Chốt business rules cốt lõi và yêu cầu phi chức năng; NFR03 (thời gian phân tích) benchmark sớm trong tuần 2–3.</t>
  </si>
  <si>
    <t>Thiết kế kiến trúc tổng thể</t>
  </si>
  <si>
    <t>Thiết kế luồng xử lý bất đồng bộ (job worker qua PostgreSQL + TaskExecutor, không dùng Redis) và tổ chức modular monolith.</t>
  </si>
  <si>
    <t>Tưởng</t>
  </si>
  <si>
    <t>5</t>
  </si>
  <si>
    <t>Tưởng lead vì phụ trách backend/thuật toán</t>
  </si>
  <si>
    <t>Thiết kế API contract &amp; ADR</t>
  </si>
  <si>
    <t>Đặc tả API chính (POST repository, POST analysis, GET job/snapshot/hotspot/alert) và lập ADR đầu tiên (Context/Decision/Alternatives/Why selected/Consequences).</t>
  </si>
  <si>
    <t>Toản</t>
  </si>
  <si>
    <t>Thiết kế kiến trúc</t>
  </si>
  <si>
    <t>Dựng skeleton + CI cơ bản &amp; staging</t>
  </si>
  <si>
    <t>Dựng khung backend/frontend, pipeline CI (build, lint, test) từ tuần 2; môi trường staging phải truy cập được chậm nhất cuối tuần 3.</t>
  </si>
  <si>
    <t>Chạy song song với thiết kế, không chờ tài liệu xong mới bắt đầu</t>
  </si>
  <si>
    <t>Chốt phạm vi trợ lý rà soát bằng LLM</t>
  </si>
  <si>
    <t>Xác định context gửi model (metric, thay đổi gần đây, đoạn mã chọn), output schema, provider abstraction, timeout/fallback và chính sách không tự động sửa mã; cô lập khỏi metric engine.</t>
  </si>
  <si>
    <t>Thiết kế thuật toán tính chỉ số</t>
  </si>
  <si>
    <t>Thiết kế thuật toán trích xuất commit, change frequency, code churn, cyclomatic complexity (Lizard), chuẩn hóa percentile, hotspot score = căn bậc hai(P_change×P_complexity), temporal coupling (≥5 shared commit, coupling ≥50%), ownership concentration (HHI).</t>
  </si>
  <si>
    <t>Thiết kế cơ chế giám sát định kỳ</t>
  </si>
  <si>
    <t>Thiết kế mô hình snapshot, quy trình quét định kỳ, so sánh hai lần quét và quy tắc ngưỡng cảnh báo.</t>
  </si>
  <si>
    <t>Thiết kế cơ sở dữ liệu</t>
  </si>
  <si>
    <t>Lập ERD và đặc tả 10 bảng (tracked_repository, analysis_job, analysis_snapshot, logical_file, file_metric, contributor, file_contribution, temporal_coupling, alert_rule, alert) cùng chỉ mục phục vụ truy vấn.</t>
  </si>
  <si>
    <t>Thiết kế giao diện người dùng</t>
  </si>
  <si>
    <t>Vẽ sơ đồ điều hướng, thiết kế màn hình chính, màn hình AI review và chọn hình thức trực quan hóa cho từng chỉ số.</t>
  </si>
  <si>
    <t>Thiết kế module trợ lý rà soát bằng LLM</t>
  </si>
  <si>
    <t>Thiết kế interface LLMReviewService, prompt template có version, schema response (risk summary/evidence/checklist/refactor suggestion), timeout/fallback độc lập với pipeline phân tích.</t>
  </si>
  <si>
    <t>6</t>
  </si>
  <si>
    <t>Phạm vi AI review đã chốt</t>
  </si>
  <si>
    <t>Thiết kế thực nghiệm (temporal split &amp; baseline)</t>
  </si>
  <si>
    <t>Chốt observation/prediction window, cách xác định bug-fix file (issue label → commit-message pattern → lấy mẫu thủ công), 2 baseline (change frequency only, complexity only), metric Precision@K/Recall@K/MAP.</t>
  </si>
  <si>
    <t>Cài đặt mô-đun thu thập dữ liệu</t>
  </si>
  <si>
    <t>Full clone/fetch kho mã nguồn qua JGit (không dùng partial clone); commit traversal, diff, author extraction, rename detection, file lineage.</t>
  </si>
  <si>
    <t>7</t>
  </si>
  <si>
    <t>Cài đặt mô-đun tính toán chỉ số</t>
  </si>
  <si>
    <t>Cài đặt các thuật toán tính chỉ số đã thiết kế; gọi Lizard đo độ phức tạp qua ProcessBuilder.</t>
  </si>
  <si>
    <t>8</t>
  </si>
  <si>
    <t>Cài đặt thu thập dữ liệu</t>
  </si>
  <si>
    <t>Cài đặt mô-đun lưu trữ &amp; giám sát</t>
  </si>
  <si>
    <t>Cài đặt lưu snapshot, bộ định thời quét định kỳ (Spring Scheduling); job state lưu trong PostgreSQL, xử lý bằng bounded TaskExecutor (không dùng Redis); sinh cảnh báo theo ngưỡng.</t>
  </si>
  <si>
    <t>Thiết kế cơ chế giám sát</t>
  </si>
  <si>
    <t>Cài đặt tầng API</t>
  </si>
  <si>
    <t>Xây dựng REST API cho giao diện; job xử lý bất đồng bộ qua PostgreSQL + TaskExecutor (đã bỏ Redis/Redisson khỏi core).</t>
  </si>
  <si>
    <t>Cài đặt lưu trữ &amp; giám sát</t>
  </si>
  <si>
    <t>Cài đặt module trợ lý rà soát bằng LLM</t>
  </si>
  <si>
    <t>Cài đặt LLMReviewService: provider adapter thật cho production, fake/mock provider cho test; context builder giới hạn kích thước, validate response theo schema.</t>
  </si>
  <si>
    <t>Cài đặt giao diện người dùng</t>
  </si>
  <si>
    <t>Xây dựng ứng dụng React/TypeScript: biểu đồ xu hướng, bản đồ điểm nóng (Recharts/D3.js), màn hình AI review.</t>
  </si>
  <si>
    <t>Thiết kế UI, API sẵn dùng</t>
  </si>
  <si>
    <t>Đóng gói và triển khai bằng Docker</t>
  </si>
  <si>
    <t>Viết Dockerfile/docker-compose cho backend, frontend, PostgreSQL (không có Redis); duy trì auto-deploy staging đều mỗi tuần.</t>
  </si>
  <si>
    <t>Các mô-đun đã hoàn thành</t>
  </si>
  <si>
    <t>Tích hợp và kiểm thử toàn hệ thống</t>
  </si>
  <si>
    <t>Ghép các mô-đun, kiểm thử end-to-end trên vài repo mẫu (kể cả module AI review với fake provider/timeout/fallback), sửa lỗi phát sinh.</t>
  </si>
  <si>
    <t>Đóng gói Docker</t>
  </si>
  <si>
    <t>Chọn tập dữ liệu thực nghiệm</t>
  </si>
  <si>
    <t>Xác định tiêu chí, chọn 3–5 dự án Java OSS đủ lịch sử; chọn trước khi xem kết quả mô hình để hạn chế cherry-picking.</t>
  </si>
  <si>
    <t>9</t>
  </si>
  <si>
    <t>Hệ thống chạy được</t>
  </si>
  <si>
    <t>Thực nghiệm RQ1: xếp hạng rủi ro</t>
  </si>
  <si>
    <t>So sánh mô hình kết hợp (hotspot score) với 2 baseline (change frequency only, complexity only) theo temporal split; đo Precision@K, Recall@K, MAP.</t>
  </si>
  <si>
    <t>Chọn dữ liệu thực nghiệm</t>
  </si>
  <si>
    <t>Thực nghiệm RQ2: theo dõi xu hướng qua snapshot</t>
  </si>
  <si>
    <t>Chạy giám sát nhiều lần trên dữ liệu lịch sử, đánh giá khả năng phát hiện và giải thích thay đổi rủi ro bảo trì theo thời gian.</t>
  </si>
  <si>
    <t>10</t>
  </si>
  <si>
    <t>Thực nghiệm hiệu năng</t>
  </si>
  <si>
    <t>Đo thời gian phân tích theo quy mô kho mã nguồn (tối đa 10.000 commit gần nhất).</t>
  </si>
  <si>
    <t>Thực nghiệm người dùng (RQ3)</t>
  </si>
  <si>
    <t>Tuyển 5–9 người dùng thực (mức cam kết Mức 4); thực hiện 7 task chuẩn (thêm repo, tìm 5 file ưu tiên, giải thích risk, xác định coupling, xem snapshot, xác định cảnh báo, dùng trợ lý AI review); đo task success ≥80%, SUS ≥68.</t>
  </si>
  <si>
    <t>Cải tiến sau phản hồi người dùng</t>
  </si>
  <si>
    <t>Thực hiện ít nhất một vòng cải tiến sản phẩm dựa trên phản hồi thực nghiệm người dùng.</t>
  </si>
  <si>
    <t>11</t>
  </si>
  <si>
    <t>Tổng hợp và so sánh với công cụ hiện có</t>
  </si>
  <si>
    <t>Tổng hợp kết quả RQ1–RQ3, so sánh với SonarQube/CodeScene, nêu Threats to Validity và hạn chế của kết quả thực nghiệm.</t>
  </si>
  <si>
    <t>Các thực nghiệm hoàn thành</t>
  </si>
  <si>
    <t>Viết Chương 3 và Chương 4</t>
  </si>
  <si>
    <t>Viết nội dung cài đặt hệ thống và thực nghiệm - đánh giá dựa trên kết quả thực tế đã có.</t>
  </si>
  <si>
    <t>M4, M5 hoàn thành</t>
  </si>
  <si>
    <t>Viết kết luận, tài liệu tham khảo, phụ lục</t>
  </si>
  <si>
    <t>Tổng kết kết quả đạt được, hạn chế đề tài, hướng phát triển; hoàn thiện danh mục tài liệu tham khảo.</t>
  </si>
  <si>
    <t>Viết Chương 3-4</t>
  </si>
  <si>
    <t>Chuẩn bị bản demo và slide báo cáo</t>
  </si>
  <si>
    <t>Chuẩn bị kịch bản demo trên vài repo mẫu và slide trình bày trước GVHD.</t>
  </si>
  <si>
    <t>Hệ thống hoàn chỉnh</t>
  </si>
  <si>
    <t>Rà soát, chỉnh sửa và nộp tiểu luận</t>
  </si>
  <si>
    <t>Đọc lại toàn bộ tiểu luận, format theo quy định, kiểm tra lỗi chính tả/trích dẫn, nộp bài đúng hạn.</t>
  </si>
  <si>
    <t>Toàn bộ nội dung hoàn thành</t>
  </si>
  <si>
    <t>Chú thích trạng thái: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</si>
</sst>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6"/>
      <color rgb="FF1F4E78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i/>
      <sz val="9"/>
      <color rgb="FF595959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8CBAD"/>
        <bgColor rgb="FFFFE699"/>
      </patternFill>
    </fill>
    <fill>
      <patternFill patternType="solid">
        <fgColor rgb="FFC6E0B4"/>
        <bgColor rgb="FFD9E1F2"/>
      </patternFill>
    </fill>
    <fill>
      <patternFill patternType="solid">
        <fgColor rgb="FFF2F2F2"/>
        <bgColor rgb="FFFFFFFF"/>
      </patternFill>
    </fill>
    <fill>
      <patternFill patternType="solid">
        <fgColor rgb="FFFFE699"/>
        <bgColor rgb="FF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6" fillId="0" borderId="0" xfId="0" applyFont="1" applyAlignment="1">
      <alignment vertical="top" wrapText="1"/>
    </xf>
    <xf numFmtId="0" fontId="4" fillId="0" borderId="1" xfId="0" applyFont="1" applyBorder="1"/>
    <xf numFmtId="0" fontId="2" fillId="0" borderId="0" xfId="0" applyFont="1"/>
    <xf numFmtId="0" fontId="1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5" fillId="3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9" fontId="4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3" fillId="0" borderId="0" xfId="0" applyFont="1"/>
    <xf numFmtId="0" fontId="4" fillId="7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3"/>
  <sheetViews>
    <sheetView zoomScaleNormal="100" workbookViewId="0"/>
  </sheetViews>
  <sheetFormatPr defaultColWidth="8.7109375" defaultRowHeight="15" x14ac:dyDescent="0.25"/>
  <cols>
    <col min="2" max="2" width="30" customWidth="1"/>
    <col min="3" max="3" width="13" customWidth="1"/>
    <col min="4" max="4" width="14" customWidth="1"/>
    <col min="5" max="5" width="12" customWidth="1"/>
    <col min="6" max="7" width="13" customWidth="1"/>
    <col min="8" max="8" width="14" customWidth="1"/>
  </cols>
  <sheetData>
    <row r="2" spans="2:8" ht="19.5" customHeight="1" x14ac:dyDescent="0.3">
      <c r="B2" s="4" t="s">
        <v>0</v>
      </c>
      <c r="C2" s="4"/>
      <c r="D2" s="4"/>
      <c r="E2" s="4"/>
      <c r="F2" s="4"/>
      <c r="G2" s="4"/>
      <c r="H2" s="4"/>
    </row>
    <row r="3" spans="2:8" ht="15" customHeight="1" x14ac:dyDescent="0.25">
      <c r="B3" s="3" t="s">
        <v>1</v>
      </c>
      <c r="C3" s="3"/>
      <c r="D3" s="3"/>
      <c r="E3" s="3"/>
      <c r="F3" s="3"/>
      <c r="G3" s="3"/>
      <c r="H3" s="3"/>
    </row>
    <row r="5" spans="2:8" ht="15" customHeight="1" x14ac:dyDescent="0.25">
      <c r="B5" s="5" t="s">
        <v>2</v>
      </c>
      <c r="C5" s="2" t="s">
        <v>3</v>
      </c>
      <c r="D5" s="2"/>
      <c r="E5" s="2"/>
      <c r="F5" s="2"/>
    </row>
    <row r="6" spans="2:8" ht="15" customHeight="1" x14ac:dyDescent="0.25">
      <c r="B6" s="5" t="s">
        <v>4</v>
      </c>
      <c r="C6" s="2" t="s">
        <v>5</v>
      </c>
      <c r="D6" s="2"/>
      <c r="E6" s="2"/>
      <c r="F6" s="2"/>
    </row>
    <row r="7" spans="2:8" ht="15" customHeight="1" x14ac:dyDescent="0.25">
      <c r="B7" s="5" t="s">
        <v>6</v>
      </c>
      <c r="C7" s="2" t="s">
        <v>7</v>
      </c>
      <c r="D7" s="2"/>
      <c r="E7" s="2"/>
      <c r="F7" s="2"/>
    </row>
    <row r="8" spans="2:8" ht="15" customHeight="1" x14ac:dyDescent="0.25">
      <c r="B8" s="5" t="s">
        <v>8</v>
      </c>
      <c r="C8" s="2" t="s">
        <v>9</v>
      </c>
      <c r="D8" s="2"/>
      <c r="E8" s="2"/>
      <c r="F8" s="2"/>
    </row>
    <row r="11" spans="2:8" ht="26.25" customHeight="1" x14ac:dyDescent="0.25">
      <c r="B11" s="7" t="s">
        <v>10</v>
      </c>
      <c r="C11" s="7" t="s">
        <v>11</v>
      </c>
      <c r="D11" s="7" t="s">
        <v>12</v>
      </c>
      <c r="E11" s="7" t="s">
        <v>13</v>
      </c>
      <c r="F11" s="7" t="s">
        <v>14</v>
      </c>
      <c r="G11" s="7" t="s">
        <v>15</v>
      </c>
      <c r="H11" s="7" t="s">
        <v>16</v>
      </c>
    </row>
    <row r="12" spans="2:8" ht="15" customHeight="1" x14ac:dyDescent="0.25">
      <c r="B12" s="6" t="s">
        <v>17</v>
      </c>
      <c r="C12" s="8">
        <f>COUNTIF('Kế hoạch chi tiết'!$B$5:$B$43,$B12)</f>
        <v>1</v>
      </c>
      <c r="D12" s="8">
        <f>COUNTIFS('Kế hoạch chi tiết'!$B$5:$B$43,$B12,'Kế hoạch chi tiết'!$G$5:$G$43,"Chưa bắt đầu")</f>
        <v>0</v>
      </c>
      <c r="E12" s="8">
        <f>COUNTIFS('Kế hoạch chi tiết'!$B$5:$B$43,$B12,'Kế hoạch chi tiết'!$G$5:$G$43,"Đang làm")</f>
        <v>0</v>
      </c>
      <c r="F12" s="8">
        <f>COUNTIFS('Kế hoạch chi tiết'!$B$5:$B$43,$B12,'Kế hoạch chi tiết'!$G$5:$G$43,"Hoàn thành")</f>
        <v>1</v>
      </c>
      <c r="G12" s="8">
        <f>COUNTIFS('Kế hoạch chi tiết'!$B$5:$B$43,$B12,'Kế hoạch chi tiết'!$G$5:$G$43,"Bị trì hoãn")</f>
        <v>0</v>
      </c>
      <c r="H12" s="9">
        <f t="shared" ref="H12:H19" si="0">IF(C12=0,0,F12/C12)</f>
        <v>1</v>
      </c>
    </row>
    <row r="13" spans="2:8" ht="15" customHeight="1" x14ac:dyDescent="0.25">
      <c r="B13" s="6" t="s">
        <v>18</v>
      </c>
      <c r="C13" s="8">
        <f>COUNTIF('Kế hoạch chi tiết'!$B$5:$B$43,$B13)</f>
        <v>6</v>
      </c>
      <c r="D13" s="8">
        <f>COUNTIFS('Kế hoạch chi tiết'!$B$5:$B$43,$B13,'Kế hoạch chi tiết'!$G$5:$G$43,"Chưa bắt đầu")</f>
        <v>6</v>
      </c>
      <c r="E13" s="8">
        <f>COUNTIFS('Kế hoạch chi tiết'!$B$5:$B$43,$B13,'Kế hoạch chi tiết'!$G$5:$G$43,"Đang làm")</f>
        <v>0</v>
      </c>
      <c r="F13" s="8">
        <f>COUNTIFS('Kế hoạch chi tiết'!$B$5:$B$43,$B13,'Kế hoạch chi tiết'!$G$5:$G$43,"Hoàn thành")</f>
        <v>0</v>
      </c>
      <c r="G13" s="8">
        <f>COUNTIFS('Kế hoạch chi tiết'!$B$5:$B$43,$B13,'Kế hoạch chi tiết'!$G$5:$G$43,"Bị trì hoãn")</f>
        <v>0</v>
      </c>
      <c r="H13" s="9">
        <f t="shared" si="0"/>
        <v>0</v>
      </c>
    </row>
    <row r="14" spans="2:8" ht="15" customHeight="1" x14ac:dyDescent="0.25">
      <c r="B14" s="6" t="s">
        <v>19</v>
      </c>
      <c r="C14" s="8">
        <f>COUNTIF('Kế hoạch chi tiết'!$B$5:$B$43,$B14)</f>
        <v>7</v>
      </c>
      <c r="D14" s="8">
        <f>COUNTIFS('Kế hoạch chi tiết'!$B$5:$B$43,$B14,'Kế hoạch chi tiết'!$G$5:$G$43,"Chưa bắt đầu")</f>
        <v>7</v>
      </c>
      <c r="E14" s="8">
        <f>COUNTIFS('Kế hoạch chi tiết'!$B$5:$B$43,$B14,'Kế hoạch chi tiết'!$G$5:$G$43,"Đang làm")</f>
        <v>0</v>
      </c>
      <c r="F14" s="8">
        <f>COUNTIFS('Kế hoạch chi tiết'!$B$5:$B$43,$B14,'Kế hoạch chi tiết'!$G$5:$G$43,"Hoàn thành")</f>
        <v>0</v>
      </c>
      <c r="G14" s="8">
        <f>COUNTIFS('Kế hoạch chi tiết'!$B$5:$B$43,$B14,'Kế hoạch chi tiết'!$G$5:$G$43,"Bị trì hoãn")</f>
        <v>0</v>
      </c>
      <c r="H14" s="9">
        <f t="shared" si="0"/>
        <v>0</v>
      </c>
    </row>
    <row r="15" spans="2:8" ht="15" customHeight="1" x14ac:dyDescent="0.25">
      <c r="B15" s="6" t="s">
        <v>20</v>
      </c>
      <c r="C15" s="8">
        <f>COUNTIF('Kế hoạch chi tiết'!$B$5:$B$43,$B15)</f>
        <v>6</v>
      </c>
      <c r="D15" s="8">
        <f>COUNTIFS('Kế hoạch chi tiết'!$B$5:$B$43,$B15,'Kế hoạch chi tiết'!$G$5:$G$43,"Chưa bắt đầu")</f>
        <v>6</v>
      </c>
      <c r="E15" s="8">
        <f>COUNTIFS('Kế hoạch chi tiết'!$B$5:$B$43,$B15,'Kế hoạch chi tiết'!$G$5:$G$43,"Đang làm")</f>
        <v>0</v>
      </c>
      <c r="F15" s="8">
        <f>COUNTIFS('Kế hoạch chi tiết'!$B$5:$B$43,$B15,'Kế hoạch chi tiết'!$G$5:$G$43,"Hoàn thành")</f>
        <v>0</v>
      </c>
      <c r="G15" s="8">
        <f>COUNTIFS('Kế hoạch chi tiết'!$B$5:$B$43,$B15,'Kế hoạch chi tiết'!$G$5:$G$43,"Bị trì hoãn")</f>
        <v>0</v>
      </c>
      <c r="H15" s="9">
        <f t="shared" si="0"/>
        <v>0</v>
      </c>
    </row>
    <row r="16" spans="2:8" ht="15" customHeight="1" x14ac:dyDescent="0.25">
      <c r="B16" s="6" t="s">
        <v>21</v>
      </c>
      <c r="C16" s="8">
        <f>COUNTIF('Kế hoạch chi tiết'!$B$5:$B$43,$B16)</f>
        <v>8</v>
      </c>
      <c r="D16" s="8">
        <f>COUNTIFS('Kế hoạch chi tiết'!$B$5:$B$43,$B16,'Kế hoạch chi tiết'!$G$5:$G$43,"Chưa bắt đầu")</f>
        <v>8</v>
      </c>
      <c r="E16" s="8">
        <f>COUNTIFS('Kế hoạch chi tiết'!$B$5:$B$43,$B16,'Kế hoạch chi tiết'!$G$5:$G$43,"Đang làm")</f>
        <v>0</v>
      </c>
      <c r="F16" s="8">
        <f>COUNTIFS('Kế hoạch chi tiết'!$B$5:$B$43,$B16,'Kế hoạch chi tiết'!$G$5:$G$43,"Hoàn thành")</f>
        <v>0</v>
      </c>
      <c r="G16" s="8">
        <f>COUNTIFS('Kế hoạch chi tiết'!$B$5:$B$43,$B16,'Kế hoạch chi tiết'!$G$5:$G$43,"Bị trì hoãn")</f>
        <v>0</v>
      </c>
      <c r="H16" s="9">
        <f t="shared" si="0"/>
        <v>0</v>
      </c>
    </row>
    <row r="17" spans="2:8" ht="15" customHeight="1" x14ac:dyDescent="0.25">
      <c r="B17" s="6" t="s">
        <v>22</v>
      </c>
      <c r="C17" s="8">
        <f>COUNTIF('Kế hoạch chi tiết'!$B$5:$B$43,$B17)</f>
        <v>7</v>
      </c>
      <c r="D17" s="8">
        <f>COUNTIFS('Kế hoạch chi tiết'!$B$5:$B$43,$B17,'Kế hoạch chi tiết'!$G$5:$G$43,"Chưa bắt đầu")</f>
        <v>7</v>
      </c>
      <c r="E17" s="8">
        <f>COUNTIFS('Kế hoạch chi tiết'!$B$5:$B$43,$B17,'Kế hoạch chi tiết'!$G$5:$G$43,"Đang làm")</f>
        <v>0</v>
      </c>
      <c r="F17" s="8">
        <f>COUNTIFS('Kế hoạch chi tiết'!$B$5:$B$43,$B17,'Kế hoạch chi tiết'!$G$5:$G$43,"Hoàn thành")</f>
        <v>0</v>
      </c>
      <c r="G17" s="8">
        <f>COUNTIFS('Kế hoạch chi tiết'!$B$5:$B$43,$B17,'Kế hoạch chi tiết'!$G$5:$G$43,"Bị trì hoãn")</f>
        <v>0</v>
      </c>
      <c r="H17" s="9">
        <f t="shared" si="0"/>
        <v>0</v>
      </c>
    </row>
    <row r="18" spans="2:8" ht="15" customHeight="1" x14ac:dyDescent="0.25">
      <c r="B18" s="6" t="s">
        <v>23</v>
      </c>
      <c r="C18" s="8">
        <f>COUNTIF('Kế hoạch chi tiết'!$B$5:$B$43,$B18)</f>
        <v>4</v>
      </c>
      <c r="D18" s="8">
        <f>COUNTIFS('Kế hoạch chi tiết'!$B$5:$B$43,$B18,'Kế hoạch chi tiết'!$G$5:$G$43,"Chưa bắt đầu")</f>
        <v>4</v>
      </c>
      <c r="E18" s="8">
        <f>COUNTIFS('Kế hoạch chi tiết'!$B$5:$B$43,$B18,'Kế hoạch chi tiết'!$G$5:$G$43,"Đang làm")</f>
        <v>0</v>
      </c>
      <c r="F18" s="8">
        <f>COUNTIFS('Kế hoạch chi tiết'!$B$5:$B$43,$B18,'Kế hoạch chi tiết'!$G$5:$G$43,"Hoàn thành")</f>
        <v>0</v>
      </c>
      <c r="G18" s="8">
        <f>COUNTIFS('Kế hoạch chi tiết'!$B$5:$B$43,$B18,'Kế hoạch chi tiết'!$G$5:$G$43,"Bị trì hoãn")</f>
        <v>0</v>
      </c>
      <c r="H18" s="9">
        <f t="shared" si="0"/>
        <v>0</v>
      </c>
    </row>
    <row r="19" spans="2:8" ht="15" customHeight="1" x14ac:dyDescent="0.25">
      <c r="B19" s="5" t="s">
        <v>24</v>
      </c>
      <c r="C19" s="10">
        <f>SUM(C12:C18)</f>
        <v>39</v>
      </c>
      <c r="D19" s="10">
        <f>SUM(D12:D18)</f>
        <v>38</v>
      </c>
      <c r="E19" s="10">
        <f>SUM(E12:E18)</f>
        <v>0</v>
      </c>
      <c r="F19" s="10">
        <f>SUM(F12:F18)</f>
        <v>1</v>
      </c>
      <c r="G19" s="10">
        <f>SUM(G12:G18)</f>
        <v>0</v>
      </c>
      <c r="H19" s="11">
        <f t="shared" si="0"/>
        <v>2.564102564102564E-2</v>
      </c>
    </row>
    <row r="21" spans="2:8" ht="15" customHeight="1" x14ac:dyDescent="0.25">
      <c r="B21" s="1" t="s">
        <v>25</v>
      </c>
      <c r="C21" s="1"/>
      <c r="D21" s="1"/>
      <c r="E21" s="1"/>
      <c r="F21" s="1"/>
      <c r="G21" s="1"/>
      <c r="H21" s="1"/>
    </row>
    <row r="22" spans="2:8" ht="15" customHeight="1" x14ac:dyDescent="0.25">
      <c r="B22" s="1"/>
      <c r="C22" s="1"/>
      <c r="D22" s="1"/>
      <c r="E22" s="1"/>
      <c r="F22" s="1"/>
      <c r="G22" s="1"/>
      <c r="H22" s="1"/>
    </row>
    <row r="23" spans="2:8" ht="15" customHeight="1" x14ac:dyDescent="0.25">
      <c r="B23" s="1"/>
      <c r="C23" s="1"/>
      <c r="D23" s="1"/>
      <c r="E23" s="1"/>
      <c r="F23" s="1"/>
      <c r="G23" s="1"/>
      <c r="H23" s="1"/>
    </row>
  </sheetData>
  <mergeCells count="7">
    <mergeCell ref="C8:F8"/>
    <mergeCell ref="B21:H23"/>
    <mergeCell ref="B2:H2"/>
    <mergeCell ref="B3:H3"/>
    <mergeCell ref="C5:F5"/>
    <mergeCell ref="C6:F6"/>
    <mergeCell ref="C7:F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5"/>
  <sheetViews>
    <sheetView tabSelected="1" zoomScaleNormal="100" workbookViewId="0">
      <pane ySplit="4" topLeftCell="A5" activePane="bottomLeft" state="frozen"/>
      <selection pane="bottomLeft" activeCell="J35" sqref="J35"/>
    </sheetView>
  </sheetViews>
  <sheetFormatPr defaultColWidth="8.7109375" defaultRowHeight="15" x14ac:dyDescent="0.25"/>
  <cols>
    <col min="1" max="1" width="5" customWidth="1"/>
    <col min="2" max="2" width="26" customWidth="1"/>
    <col min="3" max="3" width="30" customWidth="1"/>
    <col min="4" max="4" width="46" customWidth="1"/>
    <col min="5" max="5" width="16" customWidth="1"/>
    <col min="6" max="6" width="12" customWidth="1"/>
    <col min="7" max="7" width="14" customWidth="1"/>
    <col min="8" max="10" width="12" customWidth="1"/>
    <col min="11" max="11" width="22" customWidth="1"/>
  </cols>
  <sheetData>
    <row r="1" spans="1:11" ht="21.75" customHeight="1" x14ac:dyDescent="0.3">
      <c r="A1" s="4" t="s">
        <v>26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3" t="s">
        <v>27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spans="1:11" ht="26.25" customHeight="1" x14ac:dyDescent="0.25">
      <c r="A4" s="7" t="s">
        <v>28</v>
      </c>
      <c r="B4" s="7" t="s">
        <v>10</v>
      </c>
      <c r="C4" s="7" t="s">
        <v>29</v>
      </c>
      <c r="D4" s="7" t="s">
        <v>30</v>
      </c>
      <c r="E4" s="7" t="s">
        <v>31</v>
      </c>
      <c r="F4" s="7" t="s">
        <v>32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37</v>
      </c>
    </row>
    <row r="5" spans="1:11" ht="23.25" customHeight="1" x14ac:dyDescent="0.25">
      <c r="A5" s="8">
        <v>1</v>
      </c>
      <c r="B5" s="12" t="s">
        <v>17</v>
      </c>
      <c r="C5" s="12" t="s">
        <v>38</v>
      </c>
      <c r="D5" s="12" t="s">
        <v>39</v>
      </c>
      <c r="E5" s="12" t="s">
        <v>40</v>
      </c>
      <c r="F5" s="13" t="s">
        <v>41</v>
      </c>
      <c r="G5" s="14" t="s">
        <v>14</v>
      </c>
      <c r="H5" s="8" t="s">
        <v>42</v>
      </c>
      <c r="I5" s="8" t="s">
        <v>42</v>
      </c>
      <c r="J5" s="12" t="s">
        <v>43</v>
      </c>
      <c r="K5" s="12" t="s">
        <v>44</v>
      </c>
    </row>
    <row r="6" spans="1:11" ht="23.25" customHeight="1" x14ac:dyDescent="0.25">
      <c r="A6" s="8">
        <v>2</v>
      </c>
      <c r="B6" s="12" t="s">
        <v>18</v>
      </c>
      <c r="C6" s="12" t="s">
        <v>45</v>
      </c>
      <c r="D6" s="12" t="s">
        <v>46</v>
      </c>
      <c r="E6" s="12" t="s">
        <v>40</v>
      </c>
      <c r="F6" s="13" t="s">
        <v>41</v>
      </c>
      <c r="G6" s="15" t="s">
        <v>12</v>
      </c>
      <c r="H6" s="8" t="s">
        <v>42</v>
      </c>
      <c r="I6" s="8" t="s">
        <v>47</v>
      </c>
      <c r="J6" s="12" t="s">
        <v>43</v>
      </c>
      <c r="K6" s="12" t="s">
        <v>48</v>
      </c>
    </row>
    <row r="7" spans="1:11" ht="23.25" customHeight="1" x14ac:dyDescent="0.25">
      <c r="A7" s="8">
        <v>3</v>
      </c>
      <c r="B7" s="12" t="s">
        <v>18</v>
      </c>
      <c r="C7" s="12" t="s">
        <v>49</v>
      </c>
      <c r="D7" s="12" t="s">
        <v>50</v>
      </c>
      <c r="E7" s="12" t="s">
        <v>40</v>
      </c>
      <c r="F7" s="13" t="s">
        <v>41</v>
      </c>
      <c r="G7" s="15" t="s">
        <v>12</v>
      </c>
      <c r="H7" s="8" t="s">
        <v>51</v>
      </c>
      <c r="I7" s="8" t="s">
        <v>51</v>
      </c>
      <c r="J7" s="12" t="s">
        <v>52</v>
      </c>
      <c r="K7" s="12"/>
    </row>
    <row r="8" spans="1:11" ht="23.25" customHeight="1" x14ac:dyDescent="0.25">
      <c r="A8" s="8">
        <v>4</v>
      </c>
      <c r="B8" s="12" t="s">
        <v>18</v>
      </c>
      <c r="C8" s="12" t="s">
        <v>53</v>
      </c>
      <c r="D8" s="12" t="s">
        <v>54</v>
      </c>
      <c r="E8" s="12" t="s">
        <v>40</v>
      </c>
      <c r="F8" s="13" t="s">
        <v>41</v>
      </c>
      <c r="G8" s="15" t="s">
        <v>12</v>
      </c>
      <c r="H8" s="8" t="s">
        <v>51</v>
      </c>
      <c r="I8" s="8" t="s">
        <v>55</v>
      </c>
      <c r="J8" s="12" t="s">
        <v>52</v>
      </c>
      <c r="K8" s="12"/>
    </row>
    <row r="9" spans="1:11" ht="23.25" customHeight="1" x14ac:dyDescent="0.25">
      <c r="A9" s="8">
        <v>5</v>
      </c>
      <c r="B9" s="12" t="s">
        <v>18</v>
      </c>
      <c r="C9" s="12" t="s">
        <v>56</v>
      </c>
      <c r="D9" s="12" t="s">
        <v>57</v>
      </c>
      <c r="E9" s="12" t="s">
        <v>40</v>
      </c>
      <c r="F9" s="13" t="s">
        <v>58</v>
      </c>
      <c r="G9" s="15" t="s">
        <v>12</v>
      </c>
      <c r="H9" s="8" t="s">
        <v>55</v>
      </c>
      <c r="I9" s="8" t="s">
        <v>55</v>
      </c>
      <c r="J9" s="12" t="s">
        <v>43</v>
      </c>
      <c r="K9" s="12"/>
    </row>
    <row r="10" spans="1:11" ht="23.25" customHeight="1" x14ac:dyDescent="0.25">
      <c r="A10" s="8">
        <v>6</v>
      </c>
      <c r="B10" s="12" t="s">
        <v>18</v>
      </c>
      <c r="C10" s="12" t="s">
        <v>59</v>
      </c>
      <c r="D10" s="12" t="s">
        <v>60</v>
      </c>
      <c r="E10" s="12" t="s">
        <v>40</v>
      </c>
      <c r="F10" s="13" t="s">
        <v>58</v>
      </c>
      <c r="G10" s="15" t="s">
        <v>12</v>
      </c>
      <c r="H10" s="8" t="s">
        <v>55</v>
      </c>
      <c r="I10" s="8" t="s">
        <v>55</v>
      </c>
      <c r="J10" s="12" t="s">
        <v>43</v>
      </c>
      <c r="K10" s="12" t="s">
        <v>61</v>
      </c>
    </row>
    <row r="11" spans="1:11" ht="34.5" customHeight="1" x14ac:dyDescent="0.25">
      <c r="A11" s="8">
        <v>7</v>
      </c>
      <c r="B11" s="12" t="s">
        <v>18</v>
      </c>
      <c r="C11" s="12" t="s">
        <v>62</v>
      </c>
      <c r="D11" s="12" t="s">
        <v>63</v>
      </c>
      <c r="E11" s="12" t="s">
        <v>40</v>
      </c>
      <c r="F11" s="13" t="s">
        <v>41</v>
      </c>
      <c r="G11" s="15" t="s">
        <v>12</v>
      </c>
      <c r="H11" s="8" t="s">
        <v>51</v>
      </c>
      <c r="I11" s="8" t="s">
        <v>55</v>
      </c>
      <c r="J11" s="12" t="s">
        <v>43</v>
      </c>
      <c r="K11" s="12"/>
    </row>
    <row r="12" spans="1:11" ht="23.25" customHeight="1" x14ac:dyDescent="0.25">
      <c r="A12" s="8">
        <v>8</v>
      </c>
      <c r="B12" s="12" t="s">
        <v>19</v>
      </c>
      <c r="C12" s="12" t="s">
        <v>64</v>
      </c>
      <c r="D12" s="12" t="s">
        <v>65</v>
      </c>
      <c r="E12" s="12" t="s">
        <v>40</v>
      </c>
      <c r="F12" s="13" t="s">
        <v>41</v>
      </c>
      <c r="G12" s="15" t="s">
        <v>12</v>
      </c>
      <c r="H12" s="8" t="s">
        <v>66</v>
      </c>
      <c r="I12" s="8" t="s">
        <v>66</v>
      </c>
      <c r="J12" s="12" t="s">
        <v>67</v>
      </c>
      <c r="K12" s="12"/>
    </row>
    <row r="13" spans="1:11" ht="34.5" customHeight="1" x14ac:dyDescent="0.25">
      <c r="A13" s="8">
        <v>9</v>
      </c>
      <c r="B13" s="12" t="s">
        <v>19</v>
      </c>
      <c r="C13" s="12" t="s">
        <v>68</v>
      </c>
      <c r="D13" s="12" t="s">
        <v>69</v>
      </c>
      <c r="E13" s="12" t="s">
        <v>40</v>
      </c>
      <c r="F13" s="13" t="s">
        <v>58</v>
      </c>
      <c r="G13" s="15" t="s">
        <v>12</v>
      </c>
      <c r="H13" s="8" t="s">
        <v>66</v>
      </c>
      <c r="I13" s="8" t="s">
        <v>66</v>
      </c>
      <c r="J13" s="12" t="s">
        <v>70</v>
      </c>
      <c r="K13" s="12"/>
    </row>
    <row r="14" spans="1:11" ht="23.25" customHeight="1" x14ac:dyDescent="0.25">
      <c r="A14" s="8">
        <v>10</v>
      </c>
      <c r="B14" s="12" t="s">
        <v>19</v>
      </c>
      <c r="C14" s="12" t="s">
        <v>71</v>
      </c>
      <c r="D14" s="12" t="s">
        <v>72</v>
      </c>
      <c r="E14" s="12" t="s">
        <v>40</v>
      </c>
      <c r="F14" s="13" t="s">
        <v>41</v>
      </c>
      <c r="G14" s="15" t="s">
        <v>12</v>
      </c>
      <c r="H14" s="8" t="s">
        <v>66</v>
      </c>
      <c r="I14" s="8" t="s">
        <v>66</v>
      </c>
      <c r="J14" s="12" t="s">
        <v>70</v>
      </c>
      <c r="K14" s="12"/>
    </row>
    <row r="15" spans="1:11" ht="23.25" customHeight="1" x14ac:dyDescent="0.25">
      <c r="A15" s="8">
        <v>11</v>
      </c>
      <c r="B15" s="12" t="s">
        <v>19</v>
      </c>
      <c r="C15" s="12" t="s">
        <v>73</v>
      </c>
      <c r="D15" s="12" t="s">
        <v>74</v>
      </c>
      <c r="E15" s="12" t="s">
        <v>75</v>
      </c>
      <c r="F15" s="13" t="s">
        <v>41</v>
      </c>
      <c r="G15" s="15" t="s">
        <v>12</v>
      </c>
      <c r="H15" s="8" t="s">
        <v>66</v>
      </c>
      <c r="I15" s="8" t="s">
        <v>76</v>
      </c>
      <c r="J15" s="12" t="s">
        <v>70</v>
      </c>
      <c r="K15" s="12" t="s">
        <v>77</v>
      </c>
    </row>
    <row r="16" spans="1:11" ht="23.25" customHeight="1" x14ac:dyDescent="0.25">
      <c r="A16" s="8">
        <v>12</v>
      </c>
      <c r="B16" s="12" t="s">
        <v>19</v>
      </c>
      <c r="C16" s="12" t="s">
        <v>78</v>
      </c>
      <c r="D16" s="12" t="s">
        <v>79</v>
      </c>
      <c r="E16" s="12" t="s">
        <v>80</v>
      </c>
      <c r="F16" s="13" t="s">
        <v>58</v>
      </c>
      <c r="G16" s="15" t="s">
        <v>12</v>
      </c>
      <c r="H16" s="8" t="s">
        <v>66</v>
      </c>
      <c r="I16" s="8" t="s">
        <v>76</v>
      </c>
      <c r="J16" s="12" t="s">
        <v>81</v>
      </c>
      <c r="K16" s="12"/>
    </row>
    <row r="17" spans="1:11" ht="23.25" customHeight="1" x14ac:dyDescent="0.25">
      <c r="A17" s="8">
        <v>13</v>
      </c>
      <c r="B17" s="12" t="s">
        <v>19</v>
      </c>
      <c r="C17" s="12" t="s">
        <v>82</v>
      </c>
      <c r="D17" s="12" t="s">
        <v>83</v>
      </c>
      <c r="E17" s="12" t="s">
        <v>40</v>
      </c>
      <c r="F17" s="13" t="s">
        <v>41</v>
      </c>
      <c r="G17" s="15" t="s">
        <v>12</v>
      </c>
      <c r="H17" s="8" t="s">
        <v>51</v>
      </c>
      <c r="I17" s="8" t="s">
        <v>55</v>
      </c>
      <c r="J17" s="12" t="s">
        <v>43</v>
      </c>
      <c r="K17" s="12" t="s">
        <v>84</v>
      </c>
    </row>
    <row r="18" spans="1:11" ht="23.25" customHeight="1" x14ac:dyDescent="0.25">
      <c r="A18" s="8">
        <v>14</v>
      </c>
      <c r="B18" s="12" t="s">
        <v>19</v>
      </c>
      <c r="C18" s="12" t="s">
        <v>85</v>
      </c>
      <c r="D18" s="12" t="s">
        <v>86</v>
      </c>
      <c r="E18" s="12" t="s">
        <v>40</v>
      </c>
      <c r="F18" s="13" t="s">
        <v>41</v>
      </c>
      <c r="G18" s="15" t="s">
        <v>12</v>
      </c>
      <c r="H18" s="8" t="s">
        <v>55</v>
      </c>
      <c r="I18" s="8" t="s">
        <v>66</v>
      </c>
      <c r="J18" s="12" t="s">
        <v>70</v>
      </c>
      <c r="K18" s="12"/>
    </row>
    <row r="19" spans="1:11" ht="23.25" customHeight="1" x14ac:dyDescent="0.25">
      <c r="A19" s="8">
        <v>15</v>
      </c>
      <c r="B19" s="12" t="s">
        <v>20</v>
      </c>
      <c r="C19" s="12" t="s">
        <v>87</v>
      </c>
      <c r="D19" s="12" t="s">
        <v>88</v>
      </c>
      <c r="E19" s="12" t="s">
        <v>75</v>
      </c>
      <c r="F19" s="13" t="s">
        <v>41</v>
      </c>
      <c r="G19" s="15" t="s">
        <v>12</v>
      </c>
      <c r="H19" s="8" t="s">
        <v>76</v>
      </c>
      <c r="I19" s="8" t="s">
        <v>76</v>
      </c>
      <c r="J19" s="12" t="s">
        <v>81</v>
      </c>
      <c r="K19" s="12"/>
    </row>
    <row r="20" spans="1:11" ht="23.25" customHeight="1" x14ac:dyDescent="0.25">
      <c r="A20" s="8">
        <v>16</v>
      </c>
      <c r="B20" s="12" t="s">
        <v>20</v>
      </c>
      <c r="C20" s="12" t="s">
        <v>89</v>
      </c>
      <c r="D20" s="12" t="s">
        <v>90</v>
      </c>
      <c r="E20" s="12" t="s">
        <v>80</v>
      </c>
      <c r="F20" s="13" t="s">
        <v>41</v>
      </c>
      <c r="G20" s="15" t="s">
        <v>12</v>
      </c>
      <c r="H20" s="8" t="s">
        <v>76</v>
      </c>
      <c r="I20" s="8" t="s">
        <v>76</v>
      </c>
      <c r="J20" s="12" t="s">
        <v>81</v>
      </c>
      <c r="K20" s="12"/>
    </row>
    <row r="21" spans="1:11" ht="23.25" customHeight="1" x14ac:dyDescent="0.25">
      <c r="A21" s="8">
        <v>17</v>
      </c>
      <c r="B21" s="12" t="s">
        <v>20</v>
      </c>
      <c r="C21" s="12" t="s">
        <v>91</v>
      </c>
      <c r="D21" s="12" t="s">
        <v>92</v>
      </c>
      <c r="E21" s="12" t="s">
        <v>80</v>
      </c>
      <c r="F21" s="13" t="s">
        <v>58</v>
      </c>
      <c r="G21" s="15" t="s">
        <v>12</v>
      </c>
      <c r="H21" s="8" t="s">
        <v>76</v>
      </c>
      <c r="I21" s="8" t="s">
        <v>76</v>
      </c>
      <c r="J21" s="12" t="s">
        <v>81</v>
      </c>
      <c r="K21" s="12"/>
    </row>
    <row r="22" spans="1:11" ht="34.5" customHeight="1" x14ac:dyDescent="0.25">
      <c r="A22" s="8">
        <v>18</v>
      </c>
      <c r="B22" s="12" t="s">
        <v>20</v>
      </c>
      <c r="C22" s="12" t="s">
        <v>93</v>
      </c>
      <c r="D22" s="12" t="s">
        <v>94</v>
      </c>
      <c r="E22" s="12" t="s">
        <v>80</v>
      </c>
      <c r="F22" s="13" t="s">
        <v>58</v>
      </c>
      <c r="G22" s="15" t="s">
        <v>12</v>
      </c>
      <c r="H22" s="8" t="s">
        <v>76</v>
      </c>
      <c r="I22" s="8" t="s">
        <v>76</v>
      </c>
      <c r="J22" s="12" t="s">
        <v>81</v>
      </c>
      <c r="K22" s="12"/>
    </row>
    <row r="23" spans="1:11" ht="23.25" customHeight="1" x14ac:dyDescent="0.25">
      <c r="A23" s="8">
        <v>19</v>
      </c>
      <c r="B23" s="12" t="s">
        <v>20</v>
      </c>
      <c r="C23" s="12" t="s">
        <v>95</v>
      </c>
      <c r="D23" s="12" t="s">
        <v>96</v>
      </c>
      <c r="E23" s="12" t="s">
        <v>75</v>
      </c>
      <c r="F23" s="13" t="s">
        <v>41</v>
      </c>
      <c r="G23" s="15" t="s">
        <v>12</v>
      </c>
      <c r="H23" s="8" t="s">
        <v>76</v>
      </c>
      <c r="I23" s="8" t="s">
        <v>97</v>
      </c>
      <c r="J23" s="12" t="s">
        <v>98</v>
      </c>
      <c r="K23" s="12"/>
    </row>
    <row r="24" spans="1:11" ht="23.25" customHeight="1" x14ac:dyDescent="0.25">
      <c r="A24" s="8">
        <v>20</v>
      </c>
      <c r="B24" s="12" t="s">
        <v>20</v>
      </c>
      <c r="C24" s="12" t="s">
        <v>99</v>
      </c>
      <c r="D24" s="12" t="s">
        <v>100</v>
      </c>
      <c r="E24" s="12" t="s">
        <v>40</v>
      </c>
      <c r="F24" s="13" t="s">
        <v>41</v>
      </c>
      <c r="G24" s="15" t="s">
        <v>12</v>
      </c>
      <c r="H24" s="8" t="s">
        <v>76</v>
      </c>
      <c r="I24" s="8" t="s">
        <v>97</v>
      </c>
      <c r="J24" s="12" t="s">
        <v>87</v>
      </c>
      <c r="K24" s="12"/>
    </row>
    <row r="25" spans="1:11" ht="23.25" customHeight="1" x14ac:dyDescent="0.25">
      <c r="A25" s="8">
        <v>21</v>
      </c>
      <c r="B25" s="12" t="s">
        <v>21</v>
      </c>
      <c r="C25" s="12" t="s">
        <v>101</v>
      </c>
      <c r="D25" s="12" t="s">
        <v>102</v>
      </c>
      <c r="E25" s="12" t="s">
        <v>75</v>
      </c>
      <c r="F25" s="13" t="s">
        <v>41</v>
      </c>
      <c r="G25" s="15" t="s">
        <v>12</v>
      </c>
      <c r="H25" s="8" t="s">
        <v>97</v>
      </c>
      <c r="I25" s="8" t="s">
        <v>103</v>
      </c>
      <c r="J25" s="12" t="s">
        <v>87</v>
      </c>
      <c r="K25" s="12"/>
    </row>
    <row r="26" spans="1:11" ht="23.25" customHeight="1" x14ac:dyDescent="0.25">
      <c r="A26" s="8">
        <v>22</v>
      </c>
      <c r="B26" s="12" t="s">
        <v>21</v>
      </c>
      <c r="C26" s="12" t="s">
        <v>104</v>
      </c>
      <c r="D26" s="12" t="s">
        <v>105</v>
      </c>
      <c r="E26" s="12" t="s">
        <v>75</v>
      </c>
      <c r="F26" s="13" t="s">
        <v>41</v>
      </c>
      <c r="G26" s="15" t="s">
        <v>12</v>
      </c>
      <c r="H26" s="8" t="s">
        <v>103</v>
      </c>
      <c r="I26" s="8" t="s">
        <v>106</v>
      </c>
      <c r="J26" s="12" t="s">
        <v>107</v>
      </c>
      <c r="K26" s="12"/>
    </row>
    <row r="27" spans="1:11" ht="23.25" customHeight="1" x14ac:dyDescent="0.25">
      <c r="A27" s="8">
        <v>23</v>
      </c>
      <c r="B27" s="12" t="s">
        <v>21</v>
      </c>
      <c r="C27" s="12" t="s">
        <v>108</v>
      </c>
      <c r="D27" s="12" t="s">
        <v>109</v>
      </c>
      <c r="E27" s="12" t="s">
        <v>80</v>
      </c>
      <c r="F27" s="13" t="s">
        <v>41</v>
      </c>
      <c r="G27" s="15" t="s">
        <v>12</v>
      </c>
      <c r="H27" s="8" t="s">
        <v>97</v>
      </c>
      <c r="I27" s="8" t="s">
        <v>103</v>
      </c>
      <c r="J27" s="12" t="s">
        <v>110</v>
      </c>
      <c r="K27" s="12"/>
    </row>
    <row r="28" spans="1:11" ht="34.5" customHeight="1" x14ac:dyDescent="0.25">
      <c r="A28" s="8">
        <v>24</v>
      </c>
      <c r="B28" s="12" t="s">
        <v>21</v>
      </c>
      <c r="C28" s="12" t="s">
        <v>111</v>
      </c>
      <c r="D28" s="12" t="s">
        <v>112</v>
      </c>
      <c r="E28" s="12" t="s">
        <v>80</v>
      </c>
      <c r="F28" s="13" t="s">
        <v>41</v>
      </c>
      <c r="G28" s="15" t="s">
        <v>12</v>
      </c>
      <c r="H28" s="8" t="s">
        <v>103</v>
      </c>
      <c r="I28" s="8" t="s">
        <v>106</v>
      </c>
      <c r="J28" s="12" t="s">
        <v>113</v>
      </c>
      <c r="K28" s="12"/>
    </row>
    <row r="29" spans="1:11" ht="23.25" customHeight="1" x14ac:dyDescent="0.25">
      <c r="A29" s="8">
        <v>25</v>
      </c>
      <c r="B29" s="12" t="s">
        <v>21</v>
      </c>
      <c r="C29" s="12" t="s">
        <v>114</v>
      </c>
      <c r="D29" s="12" t="s">
        <v>115</v>
      </c>
      <c r="E29" s="12" t="s">
        <v>75</v>
      </c>
      <c r="F29" s="13" t="s">
        <v>41</v>
      </c>
      <c r="G29" s="15" t="s">
        <v>12</v>
      </c>
      <c r="H29" s="8" t="s">
        <v>103</v>
      </c>
      <c r="I29" s="8" t="s">
        <v>106</v>
      </c>
      <c r="J29" s="12" t="s">
        <v>95</v>
      </c>
      <c r="K29" s="12"/>
    </row>
    <row r="30" spans="1:11" ht="23.25" customHeight="1" x14ac:dyDescent="0.25">
      <c r="A30" s="8">
        <v>26</v>
      </c>
      <c r="B30" s="12" t="s">
        <v>21</v>
      </c>
      <c r="C30" s="12" t="s">
        <v>116</v>
      </c>
      <c r="D30" s="12" t="s">
        <v>117</v>
      </c>
      <c r="E30" s="12" t="s">
        <v>80</v>
      </c>
      <c r="F30" s="13" t="s">
        <v>58</v>
      </c>
      <c r="G30" s="15" t="s">
        <v>12</v>
      </c>
      <c r="H30" s="8" t="s">
        <v>106</v>
      </c>
      <c r="I30" s="8" t="s">
        <v>106</v>
      </c>
      <c r="J30" s="12" t="s">
        <v>118</v>
      </c>
      <c r="K30" s="12"/>
    </row>
    <row r="31" spans="1:11" ht="23.25" customHeight="1" x14ac:dyDescent="0.25">
      <c r="A31" s="8">
        <v>27</v>
      </c>
      <c r="B31" s="12" t="s">
        <v>21</v>
      </c>
      <c r="C31" s="12" t="s">
        <v>119</v>
      </c>
      <c r="D31" s="12" t="s">
        <v>120</v>
      </c>
      <c r="E31" s="12" t="s">
        <v>40</v>
      </c>
      <c r="F31" s="13" t="s">
        <v>58</v>
      </c>
      <c r="G31" s="15" t="s">
        <v>12</v>
      </c>
      <c r="H31" s="8" t="s">
        <v>106</v>
      </c>
      <c r="I31" s="8" t="s">
        <v>106</v>
      </c>
      <c r="J31" s="12" t="s">
        <v>121</v>
      </c>
      <c r="K31" s="12"/>
    </row>
    <row r="32" spans="1:11" ht="34.5" customHeight="1" x14ac:dyDescent="0.25">
      <c r="A32" s="8">
        <v>28</v>
      </c>
      <c r="B32" s="12" t="s">
        <v>21</v>
      </c>
      <c r="C32" s="12" t="s">
        <v>122</v>
      </c>
      <c r="D32" s="12" t="s">
        <v>123</v>
      </c>
      <c r="E32" s="12" t="s">
        <v>40</v>
      </c>
      <c r="F32" s="13" t="s">
        <v>41</v>
      </c>
      <c r="G32" s="15" t="s">
        <v>12</v>
      </c>
      <c r="H32" s="8" t="s">
        <v>106</v>
      </c>
      <c r="I32" s="8" t="s">
        <v>106</v>
      </c>
      <c r="J32" s="12" t="s">
        <v>124</v>
      </c>
      <c r="K32" s="12"/>
    </row>
    <row r="33" spans="1:11" ht="38.25" x14ac:dyDescent="0.25">
      <c r="A33" s="8">
        <v>29</v>
      </c>
      <c r="B33" s="12" t="s">
        <v>22</v>
      </c>
      <c r="C33" s="12" t="s">
        <v>125</v>
      </c>
      <c r="D33" s="12" t="s">
        <v>126</v>
      </c>
      <c r="E33" s="12" t="s">
        <v>40</v>
      </c>
      <c r="F33" s="13" t="s">
        <v>58</v>
      </c>
      <c r="G33" s="15" t="s">
        <v>12</v>
      </c>
      <c r="H33" s="8" t="s">
        <v>127</v>
      </c>
      <c r="I33" s="8" t="s">
        <v>127</v>
      </c>
      <c r="J33" s="12" t="s">
        <v>128</v>
      </c>
      <c r="K33" s="12"/>
    </row>
    <row r="34" spans="1:11" ht="15" customHeight="1" x14ac:dyDescent="0.25">
      <c r="A34" s="8">
        <v>30</v>
      </c>
      <c r="B34" s="12" t="s">
        <v>22</v>
      </c>
      <c r="C34" s="12" t="s">
        <v>129</v>
      </c>
      <c r="D34" s="12" t="s">
        <v>130</v>
      </c>
      <c r="E34" s="12" t="s">
        <v>75</v>
      </c>
      <c r="F34" s="13" t="s">
        <v>41</v>
      </c>
      <c r="G34" s="15" t="s">
        <v>12</v>
      </c>
      <c r="H34" s="8" t="s">
        <v>127</v>
      </c>
      <c r="I34" s="8" t="s">
        <v>127</v>
      </c>
      <c r="J34" s="12" t="s">
        <v>131</v>
      </c>
      <c r="K34" s="12"/>
    </row>
    <row r="35" spans="1:11" ht="38.25" x14ac:dyDescent="0.25">
      <c r="A35" s="8">
        <v>31</v>
      </c>
      <c r="B35" s="12" t="s">
        <v>22</v>
      </c>
      <c r="C35" s="12" t="s">
        <v>132</v>
      </c>
      <c r="D35" s="12" t="s">
        <v>133</v>
      </c>
      <c r="E35" s="12" t="s">
        <v>80</v>
      </c>
      <c r="F35" s="13" t="s">
        <v>41</v>
      </c>
      <c r="G35" s="15" t="s">
        <v>12</v>
      </c>
      <c r="H35" s="8" t="s">
        <v>127</v>
      </c>
      <c r="I35" s="8" t="s">
        <v>134</v>
      </c>
      <c r="J35" s="12" t="s">
        <v>131</v>
      </c>
      <c r="K35" s="12"/>
    </row>
    <row r="36" spans="1:11" ht="25.5" x14ac:dyDescent="0.25">
      <c r="A36" s="8">
        <v>32</v>
      </c>
      <c r="B36" s="12" t="s">
        <v>22</v>
      </c>
      <c r="C36" s="12" t="s">
        <v>135</v>
      </c>
      <c r="D36" s="12" t="s">
        <v>136</v>
      </c>
      <c r="E36" s="12" t="s">
        <v>80</v>
      </c>
      <c r="F36" s="13" t="s">
        <v>58</v>
      </c>
      <c r="G36" s="15" t="s">
        <v>12</v>
      </c>
      <c r="H36" s="8" t="s">
        <v>134</v>
      </c>
      <c r="I36" s="8" t="s">
        <v>134</v>
      </c>
      <c r="J36" s="12" t="s">
        <v>128</v>
      </c>
      <c r="K36" s="12"/>
    </row>
    <row r="37" spans="1:11" ht="63.75" x14ac:dyDescent="0.25">
      <c r="A37" s="8">
        <v>33</v>
      </c>
      <c r="B37" s="12" t="s">
        <v>22</v>
      </c>
      <c r="C37" s="12" t="s">
        <v>137</v>
      </c>
      <c r="D37" s="12" t="s">
        <v>138</v>
      </c>
      <c r="E37" s="12" t="s">
        <v>40</v>
      </c>
      <c r="F37" s="13" t="s">
        <v>41</v>
      </c>
      <c r="G37" s="15" t="s">
        <v>12</v>
      </c>
      <c r="H37" s="8" t="s">
        <v>134</v>
      </c>
      <c r="I37" s="8" t="s">
        <v>134</v>
      </c>
      <c r="J37" s="12" t="s">
        <v>128</v>
      </c>
      <c r="K37" s="12"/>
    </row>
    <row r="38" spans="1:11" ht="38.25" x14ac:dyDescent="0.25">
      <c r="A38" s="8">
        <v>34</v>
      </c>
      <c r="B38" s="12" t="s">
        <v>22</v>
      </c>
      <c r="C38" s="12" t="s">
        <v>139</v>
      </c>
      <c r="D38" s="12" t="s">
        <v>140</v>
      </c>
      <c r="E38" s="12" t="s">
        <v>40</v>
      </c>
      <c r="F38" s="13" t="s">
        <v>58</v>
      </c>
      <c r="G38" s="15" t="s">
        <v>12</v>
      </c>
      <c r="H38" s="8" t="s">
        <v>134</v>
      </c>
      <c r="I38" s="8" t="s">
        <v>141</v>
      </c>
      <c r="J38" s="12" t="s">
        <v>137</v>
      </c>
      <c r="K38" s="12"/>
    </row>
    <row r="39" spans="1:11" ht="38.25" x14ac:dyDescent="0.25">
      <c r="A39" s="8">
        <v>35</v>
      </c>
      <c r="B39" s="12" t="s">
        <v>22</v>
      </c>
      <c r="C39" s="12" t="s">
        <v>142</v>
      </c>
      <c r="D39" s="12" t="s">
        <v>143</v>
      </c>
      <c r="E39" s="12" t="s">
        <v>40</v>
      </c>
      <c r="F39" s="13" t="s">
        <v>58</v>
      </c>
      <c r="G39" s="15" t="s">
        <v>12</v>
      </c>
      <c r="H39" s="8" t="s">
        <v>134</v>
      </c>
      <c r="I39" s="8" t="s">
        <v>141</v>
      </c>
      <c r="J39" s="12" t="s">
        <v>144</v>
      </c>
      <c r="K39" s="12"/>
    </row>
    <row r="40" spans="1:11" ht="25.5" x14ac:dyDescent="0.25">
      <c r="A40" s="8">
        <v>36</v>
      </c>
      <c r="B40" s="12" t="s">
        <v>23</v>
      </c>
      <c r="C40" s="12" t="s">
        <v>145</v>
      </c>
      <c r="D40" s="12" t="s">
        <v>146</v>
      </c>
      <c r="E40" s="12" t="s">
        <v>40</v>
      </c>
      <c r="F40" s="13" t="s">
        <v>41</v>
      </c>
      <c r="G40" s="15" t="s">
        <v>12</v>
      </c>
      <c r="H40" s="8" t="s">
        <v>141</v>
      </c>
      <c r="I40" s="8" t="s">
        <v>141</v>
      </c>
      <c r="J40" s="12" t="s">
        <v>147</v>
      </c>
      <c r="K40" s="12"/>
    </row>
    <row r="41" spans="1:11" ht="25.5" x14ac:dyDescent="0.25">
      <c r="A41" s="8">
        <v>37</v>
      </c>
      <c r="B41" s="12" t="s">
        <v>23</v>
      </c>
      <c r="C41" s="12" t="s">
        <v>148</v>
      </c>
      <c r="D41" s="12" t="s">
        <v>149</v>
      </c>
      <c r="E41" s="12" t="s">
        <v>40</v>
      </c>
      <c r="F41" s="13" t="s">
        <v>58</v>
      </c>
      <c r="G41" s="15" t="s">
        <v>12</v>
      </c>
      <c r="H41" s="8" t="s">
        <v>141</v>
      </c>
      <c r="I41" s="8" t="s">
        <v>141</v>
      </c>
      <c r="J41" s="12" t="s">
        <v>150</v>
      </c>
      <c r="K41" s="12"/>
    </row>
    <row r="42" spans="1:11" ht="25.5" x14ac:dyDescent="0.25">
      <c r="A42" s="8">
        <v>38</v>
      </c>
      <c r="B42" s="12" t="s">
        <v>23</v>
      </c>
      <c r="C42" s="12" t="s">
        <v>151</v>
      </c>
      <c r="D42" s="12" t="s">
        <v>152</v>
      </c>
      <c r="E42" s="12" t="s">
        <v>40</v>
      </c>
      <c r="F42" s="13" t="s">
        <v>41</v>
      </c>
      <c r="G42" s="15" t="s">
        <v>12</v>
      </c>
      <c r="H42" s="8" t="s">
        <v>47</v>
      </c>
      <c r="I42" s="8" t="s">
        <v>47</v>
      </c>
      <c r="J42" s="12" t="s">
        <v>153</v>
      </c>
      <c r="K42" s="12"/>
    </row>
    <row r="43" spans="1:11" ht="38.25" x14ac:dyDescent="0.25">
      <c r="A43" s="8">
        <v>39</v>
      </c>
      <c r="B43" s="12" t="s">
        <v>23</v>
      </c>
      <c r="C43" s="12" t="s">
        <v>154</v>
      </c>
      <c r="D43" s="12" t="s">
        <v>155</v>
      </c>
      <c r="E43" s="12" t="s">
        <v>40</v>
      </c>
      <c r="F43" s="13" t="s">
        <v>41</v>
      </c>
      <c r="G43" s="15" t="s">
        <v>12</v>
      </c>
      <c r="H43" s="8" t="s">
        <v>47</v>
      </c>
      <c r="I43" s="8" t="s">
        <v>47</v>
      </c>
      <c r="J43" s="12" t="s">
        <v>156</v>
      </c>
      <c r="K43" s="12"/>
    </row>
    <row r="45" spans="1:11" x14ac:dyDescent="0.25">
      <c r="A45" s="16" t="s">
        <v>157</v>
      </c>
      <c r="B45" s="14" t="s">
        <v>14</v>
      </c>
      <c r="C45" s="17" t="s">
        <v>13</v>
      </c>
      <c r="D45" s="15" t="s">
        <v>12</v>
      </c>
      <c r="E45" s="13" t="s">
        <v>15</v>
      </c>
    </row>
  </sheetData>
  <mergeCells count="2">
    <mergeCell ref="A1:K1"/>
    <mergeCell ref="A2:K2"/>
  </mergeCells>
  <dataValidations count="2">
    <dataValidation type="list" allowBlank="1" sqref="G5:G43" xr:uid="{00000000-0002-0000-0100-000000000000}">
      <formula1>"Chưa bắt đầu,Đang làm,Hoàn thành,Bị trì hoãn"</formula1>
      <formula2>0</formula2>
    </dataValidation>
    <dataValidation type="list" allowBlank="1" sqref="F5:F43" xr:uid="{00000000-0002-0000-0100-000001000000}">
      <formula1>"Cao,Trung bình,Thấp"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Kế hoạch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Trần Tưởng</cp:lastModifiedBy>
  <cp:revision>0</cp:revision>
  <dcterms:created xsi:type="dcterms:W3CDTF">2026-09-12T12:07:25Z</dcterms:created>
  <dcterms:modified xsi:type="dcterms:W3CDTF">2026-09-12T13:29:40Z</dcterms:modified>
  <dc:language>en-US</dc:language>
</cp:coreProperties>
</file>